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ode WP" sheetId="1" r:id="rId4"/>
    <sheet name="Metode SAW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<sst xmlns="http://schemas.openxmlformats.org/spreadsheetml/2006/main" uniqueCount="138">
  <si>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SPK</t>
  </si>
  <si>
    <t>METODE WEIGHTED PRODUCT (WP)</t>
  </si>
  <si>
    <t>Dibuat: 19/02/2026 14:58  ·  Dokumen Perhitungan Otomatis dengan Rumus Excel</t>
  </si>
  <si>
    <t>▶ LANGKAH 1: DATA KRITERIA</t>
  </si>
  <si>
    <t>Tentukan kriteria, bobot, dan jenis. Benefit = semakin besar semakin baik, Cost = semakin kecil semakin baik.</t>
  </si>
  <si>
    <t>No</t>
  </si>
  <si>
    <t>Kode</t>
  </si>
  <si>
    <t>Nama Kriteria</t>
  </si>
  <si>
    <t>Bobot</t>
  </si>
  <si>
    <t>Jenis</t>
  </si>
  <si>
    <t>Keterangan</t>
  </si>
  <si>
    <t>C1</t>
  </si>
  <si>
    <t>Nilai Akademik</t>
  </si>
  <si>
    <t>Benefit</t>
  </si>
  <si>
    <t>Nilai rata-rata rapor / IPK (semakin tinggi semakin baik)</t>
  </si>
  <si>
    <t>Masa Kerja</t>
  </si>
  <si>
    <t>Lama bekerja (semakin lama semakin prioritas)</t>
  </si>
  <si>
    <t>C2</t>
  </si>
  <si>
    <t>Penghasilan Orang Tua</t>
  </si>
  <si>
    <t>Cost</t>
  </si>
  <si>
    <t>Tingkat penghasilan orang tua (semakin rendah semakin layak)</t>
  </si>
  <si>
    <t>Gaji Pokok</t>
  </si>
  <si>
    <t>Besaran gaji (semakin rendah semakin perlu bantuan)</t>
  </si>
  <si>
    <t>C3</t>
  </si>
  <si>
    <t>Prestasi Non-Akademik</t>
  </si>
  <si>
    <t>Prestasi di bidang olahraga, seni, organisasi, dll</t>
  </si>
  <si>
    <t>Jumlah Tanggungan</t>
  </si>
  <si>
    <t>Jumlah anggota keluarga yang ditanggung</t>
  </si>
  <si>
    <t>C4</t>
  </si>
  <si>
    <t>Kehadiran</t>
  </si>
  <si>
    <t>Tingkat kehadiran/absensi</t>
  </si>
  <si>
    <t>Kinerja</t>
  </si>
  <si>
    <t>Nilai kinerja tahunan</t>
  </si>
  <si>
    <t>C5</t>
  </si>
  <si>
    <t>Perilaku</t>
  </si>
  <si>
    <t>Sikap dan perilaku sehari-hari</t>
  </si>
  <si>
    <t>Status Rumah</t>
  </si>
  <si>
    <t>Status kepemilikan rumah (semakin rendah = kontrak/menumpang)</t>
  </si>
  <si>
    <t>TOTAL BOBOT</t>
  </si>
  <si>
    <t>📊 Skala Penilaian: 1=Sangat Kurang · 2=Kurang · 3=Cukup · 4=Baik · 5=Sangat Baik</t>
  </si>
  <si>
    <t>▶ LANGKAH 2: DATA ALTERNATIF</t>
  </si>
  <si>
    <t>Daftar alternatif yang akan dievaluasi dan diranking.</t>
  </si>
  <si>
    <t>Nama Alternatif</t>
  </si>
  <si>
    <t>A1</t>
  </si>
  <si>
    <t>Andi Pratama</t>
  </si>
  <si>
    <t>Siswa Kelas XII IPA 1</t>
  </si>
  <si>
    <t>Siti Rahayu</t>
  </si>
  <si>
    <t>Staff Administrasi</t>
  </si>
  <si>
    <t>A2</t>
  </si>
  <si>
    <t>Budi Setiawan</t>
  </si>
  <si>
    <t>Siswa Kelas XII IPA 2</t>
  </si>
  <si>
    <t>Hadi Santoso</t>
  </si>
  <si>
    <t>Staff Kebersihan</t>
  </si>
  <si>
    <t>A3</t>
  </si>
  <si>
    <t>Citra Dewi</t>
  </si>
  <si>
    <t>Siswa Kelas XII IPS 1</t>
  </si>
  <si>
    <t>Rina Wulandari</t>
  </si>
  <si>
    <t>Staff Perpustakaan</t>
  </si>
  <si>
    <t>A4</t>
  </si>
  <si>
    <t>Dina Maharani</t>
  </si>
  <si>
    <t>Joko Widodo</t>
  </si>
  <si>
    <t>Staff Keamanan</t>
  </si>
  <si>
    <t>A5</t>
  </si>
  <si>
    <t>Eko Saputra</t>
  </si>
  <si>
    <t>Siswa Kelas XII IPS 2</t>
  </si>
  <si>
    <t>Dewi Lestari</t>
  </si>
  <si>
    <t>Staff Tata Usaha</t>
  </si>
  <si>
    <t>▶ LANGKAH 3: MATRIKS PENILAIAN (Xij)</t>
  </si>
  <si>
    <t>Nilai penilaian setiap alternatif terhadap setiap kriteria.</t>
  </si>
  <si>
    <t>Alternatif</t>
  </si>
  <si>
    <t>A1 - Andi Pratama</t>
  </si>
  <si>
    <t>A1 - Siti Rahayu</t>
  </si>
  <si>
    <t>A2 - Budi Setiawan</t>
  </si>
  <si>
    <t>A2 - Hadi Santoso</t>
  </si>
  <si>
    <t>A3 - Citra Dewi</t>
  </si>
  <si>
    <t>A3 - Rina Wulandari</t>
  </si>
  <si>
    <t>A4 - Dina Maharani</t>
  </si>
  <si>
    <t>A4 - Joko Widodo</t>
  </si>
  <si>
    <t>A5 - Eko Saputra</t>
  </si>
  <si>
    <t>A5 - Dewi Lestari</t>
  </si>
  <si>
    <t>▶ LANGKAH 4: NORMALISASI BOBOT</t>
  </si>
  <si>
    <t>Hitung bobot ternormalisasi (Wj = Wi / Total Bobot), lalu tentukan pangkat (+Wj untuk Benefit, -Wj untuk Cost).</t>
  </si>
  <si>
    <t>Total</t>
  </si>
  <si>
    <t>Bobot Awal</t>
  </si>
  <si>
    <t>Wj (Normalisasi)</t>
  </si>
  <si>
    <t>Pangkat (+/-)</t>
  </si>
  <si>
    <t>📌 Rumus: Wj = Bobot / Total Bobot  |  Pangkat: +Wj (Benefit), -Wj (Cost)</t>
  </si>
  <si>
    <t>▶ LANGKAH 5: MENENTUKAN VEKTOR S</t>
  </si>
  <si>
    <t>Hitung Si = Produk dari (Xij ^ Pangkat). Setiap nilai dipangkatkan dengan bobot ternormalisasi.</t>
  </si>
  <si>
    <t>C1^Wj</t>
  </si>
  <si>
    <t>C2^Wj</t>
  </si>
  <si>
    <t>C3^Wj</t>
  </si>
  <si>
    <t>C4^Wj</t>
  </si>
  <si>
    <t>C5^Wj</t>
  </si>
  <si>
    <t>Si (Total)</t>
  </si>
  <si>
    <t>TOTAL S</t>
  </si>
  <si>
    <t>📌 Rumus: Si = Xij^Pangkat  |  Total Si = PRODUCT(semua Si per baris)  |  Total S = SUM(semua Si)</t>
  </si>
  <si>
    <t>▶ LANGKAH 6: VEKTOR V &amp; RANKING</t>
  </si>
  <si>
    <t>Hitung Vi = Si / Total S. Ranking 1 = alternatif terbaik (nilai V tertinggi).</t>
  </si>
  <si>
    <t>Nama</t>
  </si>
  <si>
    <t>Si</t>
  </si>
  <si>
    <t>Vi</t>
  </si>
  <si>
    <t>Ranking</t>
  </si>
  <si>
    <t>📌 Rumus: Vi = Si / Total S  |  Ranking = RANK(Vi; semua Vi; 0)</t>
  </si>
  <si>
    <t>★ KESIMPULAN METODE WP</t>
  </si>
  <si>
    <t>Alternatif terbaik = Ranking 1 = Nilai Vektor V tertinggi pada tabel Langkah 6.</t>
  </si>
  <si>
    <t>Semakin tinggi nilai V, semakin baik alternatif tersebut. Ranking 1 adalah rekomendasi terbaik.</t>
  </si>
  <si>
    <t>METODE SIMPLE ADDITIVE WEIGHTING (SAW)</t>
  </si>
  <si>
    <t>▶ LANGKAH 3: MATRIKS PENILAIAN (Xij) + MAX/MIN</t>
  </si>
  <si>
    <t>Nilai penilaian + hitung MAX (untuk Benefit) dan MIN (untuk Cost) per kolom kriteria.</t>
  </si>
  <si>
    <t>MAX</t>
  </si>
  <si>
    <t>MIN</t>
  </si>
  <si>
    <t>📌 MAX digunakan untuk normalisasi Benefit (Xij/Max). MIN digunakan untuk normalisasi Cost (Min/Xij).</t>
  </si>
  <si>
    <t>Hitung bobot ternormalisasi: Wj = Wi / Total Bobot. Digunakan untuk pembobotan pada Langkah 6.</t>
  </si>
  <si>
    <t>📌 Rumus: Wj = Bobot_i / Total Bobot  |  Jumlah semua Wj harus = 1</t>
  </si>
  <si>
    <t>▶ LANGKAH 5: NORMALISASI MATRIKS KEPUTUSAN (Rij)</t>
  </si>
  <si>
    <t>Benefit: Rij = Xij / MAX(Xij). Cost: Rij = MIN(Xij) / Xij. Nilai ternormalisasi antara 0 - 1.</t>
  </si>
  <si>
    <t>📌 Benefit: =Xij/MAX(kolom)  |  Cost: =MIN(kolom)/Xij</t>
  </si>
  <si>
    <t>▶ LANGKAH 6: NILAI PREFERENSI (Vi) &amp; RANKING</t>
  </si>
  <si>
    <t>Hitung Vi = SUM(Wj x Rij). Ranking 1 = alternatif terbaik (nilai Vi tertinggi).</t>
  </si>
  <si>
    <t>W1xR1</t>
  </si>
  <si>
    <t>W2xR2</t>
  </si>
  <si>
    <t>W3xR3</t>
  </si>
  <si>
    <t>W4xR4</t>
  </si>
  <si>
    <t>W5xR5</t>
  </si>
  <si>
    <t>W6xR6</t>
  </si>
  <si>
    <t>W7xR7</t>
  </si>
  <si>
    <t>W8xR8</t>
  </si>
  <si>
    <t>W9xR9</t>
  </si>
  <si>
    <t>W10xR10</t>
  </si>
  <si>
    <t>Vi (Total)</t>
  </si>
  <si>
    <t>📌 Rumus: Wj x Rij per kolom  |  Vi = SUM(semua Wj x Rij per baris)</t>
  </si>
  <si>
    <t>★ RANKING AKHIR METODE SAW</t>
  </si>
  <si>
    <t>Ranking berdasarkan nilai preferensi (Vi) terbesar. Ranking 1 = rekomendasi terbaik.</t>
  </si>
  <si>
    <t>📌 Rumus: Ranking = RANK(Vi; semua Vi; 0)</t>
  </si>
  <si>
    <t>★ KESIMPULAN METODE SAW</t>
  </si>
  <si>
    <t>Alternatif terbaik = Ranking 1 = Nilai Preferensi (Vi) tertinggi pada tabel ranking di atas.</t>
  </si>
  <si>
    <t>Semakin tinggi nilai Vi, semakin baik alternatif tersebut. Ranking 1 adalah rekomendasi terbaik.</t>
  </si>
</sst>
</file>

<file path=xl/styles.xml><?xml version="1.0" encoding="utf-8"?>
<styleSheet xmlns="http://schemas.openxmlformats.org/spreadsheetml/2006/main" xml:space="preserve">
  <numFmts count="3">
    <numFmt numFmtId="164" formatCode="0.000000"/>
    <numFmt numFmtId="165" formatCode="0.0000"/>
    <numFmt numFmtId="166" formatCode="+0.000000;-0.000000"/>
  </numFmts>
  <fonts count="19">
    <font>
      <b val="0"/>
      <i val="0"/>
      <strike val="0"/>
      <u val="none"/>
      <sz val="10"/>
      <color rgb="FF000000"/>
      <name val="Segoe UI"/>
    </font>
    <font>
      <b val="1"/>
      <i val="0"/>
      <strike val="0"/>
      <u val="none"/>
      <sz val="14"/>
      <color rgb="FFffffff"/>
      <name val="Segoe UI"/>
    </font>
    <font>
      <b val="1"/>
      <i val="0"/>
      <strike val="0"/>
      <u val="none"/>
      <sz val="13"/>
      <color rgb="FFffffff"/>
      <name val="Segoe UI"/>
    </font>
    <font>
      <b val="0"/>
      <i val="0"/>
      <strike val="0"/>
      <u val="none"/>
      <sz val="9"/>
      <color rgb="FF94a3b8"/>
      <name val="Segoe UI"/>
    </font>
    <font>
      <b val="1"/>
      <i val="0"/>
      <strike val="0"/>
      <u val="none"/>
      <sz val="11"/>
      <color rgb="FFffffff"/>
      <name val="Segoe UI"/>
    </font>
    <font>
      <b val="0"/>
      <i val="1"/>
      <strike val="0"/>
      <u val="none"/>
      <sz val="9"/>
      <color rgb="FF94a3b8"/>
      <name val="Segoe UI"/>
    </font>
    <font>
      <b val="1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e2e8f0"/>
      <name val="Segoe UI"/>
    </font>
    <font>
      <b val="0"/>
      <i val="0"/>
      <strike val="0"/>
      <u val="none"/>
      <sz val="10"/>
      <color rgb="FF4ade80"/>
      <name val="Segoe UI"/>
    </font>
    <font>
      <b val="0"/>
      <i val="0"/>
      <strike val="0"/>
      <u val="none"/>
      <sz val="10"/>
      <color rgb="FFf87171"/>
      <name val="Segoe UI"/>
    </font>
    <font>
      <b val="1"/>
      <i val="0"/>
      <strike val="0"/>
      <u val="none"/>
      <sz val="10"/>
      <color rgb="FFfbbf24"/>
      <name val="Segoe UI"/>
    </font>
    <font>
      <b val="1"/>
      <i val="0"/>
      <strike val="0"/>
      <u val="none"/>
      <sz val="9"/>
      <color rgb="FF94a3b8"/>
      <name val="Segoe UI"/>
    </font>
    <font>
      <b val="1"/>
      <i val="0"/>
      <strike val="0"/>
      <u val="none"/>
      <sz val="9"/>
      <color rgb="FF4ade80"/>
      <name val="Segoe UI"/>
    </font>
    <font>
      <b val="1"/>
      <i val="0"/>
      <strike val="0"/>
      <u val="none"/>
      <sz val="9"/>
      <color rgb="FFf87171"/>
      <name val="Segoe UI"/>
    </font>
    <font>
      <b val="1"/>
      <i val="0"/>
      <strike val="0"/>
      <u val="none"/>
      <sz val="9"/>
      <color rgb="FF818cf8"/>
      <name val="Segoe UI"/>
    </font>
    <font>
      <b val="1"/>
      <i val="0"/>
      <strike val="0"/>
      <u val="none"/>
      <sz val="10"/>
      <color rgb="FF4ade80"/>
      <name val="Segoe UI"/>
    </font>
    <font>
      <b val="1"/>
      <i val="0"/>
      <strike val="0"/>
      <u val="none"/>
      <sz val="10"/>
      <color rgb="FFe2e8f0"/>
      <name val="Segoe UI"/>
    </font>
    <font>
      <b val="1"/>
      <i val="0"/>
      <strike val="0"/>
      <u val="none"/>
      <sz val="12"/>
      <color rgb="FF4ade80"/>
      <name val="Segoe UI"/>
    </font>
    <font>
      <b val="1"/>
      <i val="0"/>
      <strike val="0"/>
      <u val="none"/>
      <sz val="9"/>
      <color rgb="FF6ee7b7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1e1b4b"/>
        <bgColor rgb="FF000000"/>
      </patternFill>
    </fill>
    <fill>
      <patternFill patternType="solid">
        <fgColor rgb="FF312e81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1e293b"/>
        <bgColor rgb="FF000000"/>
      </patternFill>
    </fill>
    <fill>
      <patternFill patternType="solid">
        <fgColor rgb="FF78350f"/>
        <bgColor rgb="FF000000"/>
      </patternFill>
    </fill>
    <fill>
      <patternFill patternType="solid">
        <fgColor rgb="FF14532d"/>
        <bgColor rgb="FF000000"/>
      </patternFill>
    </fill>
    <fill>
      <patternFill patternType="solid">
        <fgColor rgb="FF022c22"/>
        <bgColor rgb="FF000000"/>
      </patternFill>
    </fill>
    <fill>
      <patternFill patternType="solid">
        <fgColor rgb="FF064e3b"/>
        <bgColor rgb="FF000000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  <xf xfId="0" fontId="4" numFmtId="0" fillId="4" borderId="1" applyFont="1" applyNumberFormat="0" applyFill="1" applyBorder="1" applyAlignment="0"/>
    <xf xfId="0" fontId="5" numFmtId="0" fillId="3" borderId="1" applyFont="1" applyNumberFormat="0" applyFill="1" applyBorder="1" applyAlignment="0"/>
    <xf xfId="0" fontId="6" numFmtId="0" fillId="5" borderId="1" applyFont="1" applyNumberFormat="0" applyFill="1" applyBorder="1" applyAlignment="1">
      <alignment horizontal="center" vertical="center" textRotation="0" wrapText="false" shrinkToFit="false"/>
    </xf>
    <xf xfId="0" fontId="7" numFmtId="0" fillId="6" borderId="1" applyFont="1" applyNumberFormat="0" applyFill="1" applyBorder="1" applyAlignment="0"/>
    <xf xfId="0" fontId="7" numFmtId="0" fillId="6" borderId="1" applyFont="1" applyNumberFormat="0" applyFill="1" applyBorder="1" applyAlignment="1">
      <alignment horizontal="center" vertical="center" textRotation="0" wrapText="false" shrinkToFit="false"/>
    </xf>
    <xf xfId="0" fontId="8" numFmtId="0" fillId="6" borderId="1" applyFont="1" applyNumberFormat="0" applyFill="1" applyBorder="1" applyAlignment="1">
      <alignment horizontal="center" vertical="center" textRotation="0" wrapText="false" shrinkToFit="false"/>
    </xf>
    <xf xfId="0" fontId="7" numFmtId="0" fillId="2" borderId="1" applyFont="1" applyNumberFormat="0" applyFill="1" applyBorder="1" applyAlignment="0"/>
    <xf xfId="0" fontId="7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horizontal="center" vertical="center" textRotation="0" wrapText="false" shrinkToFit="false"/>
    </xf>
    <xf xfId="0" fontId="9" numFmtId="0" fillId="6" borderId="1" applyFont="1" applyNumberFormat="0" applyFill="1" applyBorder="1" applyAlignment="1">
      <alignment horizontal="center" vertical="center" textRotation="0" wrapText="false" shrinkToFit="false"/>
    </xf>
    <xf xfId="0" fontId="9" numFmtId="0" fillId="2" borderId="1" applyFont="1" applyNumberFormat="0" applyFill="1" applyBorder="1" applyAlignment="1">
      <alignment horizontal="center" vertical="center" textRotation="0" wrapText="false" shrinkToFit="false"/>
    </xf>
    <xf xfId="0" fontId="10" numFmtId="0" fillId="7" borderId="1" applyFont="1" applyNumberFormat="0" applyFill="1" applyBorder="1" applyAlignment="0"/>
    <xf xfId="0" fontId="10" numFmtId="0" fillId="7" borderId="1" applyFont="1" applyNumberFormat="0" applyFill="1" applyBorder="1" applyAlignment="1">
      <alignment horizontal="center" vertical="center" textRotation="0" wrapText="false" shrinkToFit="false"/>
    </xf>
    <xf xfId="0" fontId="11" numFmtId="0" fillId="3" borderId="1" applyFont="1" applyNumberFormat="0" applyFill="1" applyBorder="1" applyAlignment="1">
      <alignment horizontal="center" vertical="center" textRotation="0" wrapText="false" shrinkToFit="false"/>
    </xf>
    <xf xfId="0" fontId="12" numFmtId="0" fillId="3" borderId="1" applyFont="1" applyNumberFormat="0" applyFill="1" applyBorder="1" applyAlignment="1">
      <alignment horizontal="center" vertical="center" textRotation="0" wrapText="false" shrinkToFit="false"/>
    </xf>
    <xf xfId="0" fontId="13" numFmtId="0" fillId="3" borderId="1" applyFont="1" applyNumberFormat="0" applyFill="1" applyBorder="1" applyAlignment="1">
      <alignment horizontal="center" vertical="center" textRotation="0" wrapText="false" shrinkToFit="false"/>
    </xf>
    <xf xfId="0" fontId="14" numFmtId="0" fillId="3" borderId="1" applyFont="1" applyNumberFormat="0" applyFill="1" applyBorder="1" applyAlignment="1">
      <alignment horizontal="center" vertical="center" textRotation="0" wrapText="false" shrinkToFit="false"/>
    </xf>
    <xf xfId="0" fontId="7" numFmtId="164" fillId="2" borderId="1" applyFont="1" applyNumberFormat="1" applyFill="1" applyBorder="1" applyAlignment="1">
      <alignment horizontal="center" vertical="center" textRotation="0" wrapText="false" shrinkToFit="false"/>
    </xf>
    <xf xfId="0" fontId="15" numFmtId="165" fillId="8" borderId="1" applyFont="1" applyNumberFormat="1" applyFill="1" applyBorder="1" applyAlignment="1">
      <alignment horizontal="center" vertical="center" textRotation="0" wrapText="false" shrinkToFit="false"/>
    </xf>
    <xf xfId="0" fontId="16" numFmtId="0" fillId="3" borderId="1" applyFont="1" applyNumberFormat="0" applyFill="1" applyBorder="1" applyAlignment="0"/>
    <xf xfId="0" fontId="16" numFmtId="166" fillId="3" borderId="1" applyFont="1" applyNumberFormat="1" applyFill="1" applyBorder="1" applyAlignment="1">
      <alignment horizontal="center" vertical="center" textRotation="0" wrapText="false" shrinkToFit="false"/>
    </xf>
    <xf xfId="0" fontId="7" numFmtId="164" fillId="6" borderId="1" applyFont="1" applyNumberFormat="1" applyFill="1" applyBorder="1" applyAlignment="1">
      <alignment horizontal="center" vertical="center" textRotation="0" wrapText="false" shrinkToFit="false"/>
    </xf>
    <xf xfId="0" fontId="10" numFmtId="164" fillId="7" borderId="1" applyFont="1" applyNumberFormat="1" applyFill="1" applyBorder="1" applyAlignment="1">
      <alignment horizontal="center" vertical="center" textRotation="0" wrapText="false" shrinkToFit="false"/>
    </xf>
    <xf xfId="0" fontId="15" numFmtId="0" fillId="8" borderId="1" applyFont="1" applyNumberFormat="0" applyFill="1" applyBorder="1" applyAlignment="0"/>
    <xf xfId="0" fontId="15" numFmtId="164" fillId="8" borderId="1" applyFont="1" applyNumberFormat="1" applyFill="1" applyBorder="1" applyAlignment="1">
      <alignment horizontal="center" vertical="center" textRotation="0" wrapText="false" shrinkToFit="false"/>
    </xf>
    <xf xfId="0" fontId="16" numFmtId="0" fillId="6" borderId="1" applyFont="1" applyNumberFormat="0" applyFill="1" applyBorder="1" applyAlignment="1">
      <alignment horizontal="center" vertical="center" textRotation="0" wrapText="false" shrinkToFit="false"/>
    </xf>
    <xf xfId="0" fontId="16" numFmtId="0" fillId="2" borderId="1" applyFont="1" applyNumberFormat="0" applyFill="1" applyBorder="1" applyAlignment="1">
      <alignment horizontal="center" vertical="center" textRotation="0" wrapText="false" shrinkToFit="false"/>
    </xf>
    <xf xfId="0" fontId="17" numFmtId="0" fillId="8" borderId="1" applyFont="1" applyNumberFormat="0" applyFill="1" applyBorder="1" applyAlignment="0"/>
    <xf xfId="0" fontId="7" numFmtId="0" fillId="8" borderId="1" applyFont="1" applyNumberFormat="0" applyFill="1" applyBorder="1" applyAlignment="0"/>
    <xf xfId="0" fontId="3" numFmtId="0" fillId="6" borderId="1" applyFont="1" applyNumberFormat="0" applyFill="1" applyBorder="1" applyAlignment="0"/>
    <xf xfId="0" fontId="3" numFmtId="0" fillId="9" borderId="0" applyFont="1" applyNumberFormat="0" applyFill="1" applyBorder="0" applyAlignment="1">
      <alignment horizontal="center" vertical="center" textRotation="0" wrapText="false" shrinkToFit="false"/>
    </xf>
    <xf xfId="0" fontId="4" numFmtId="0" fillId="10" borderId="1" applyFont="1" applyNumberFormat="0" applyFill="1" applyBorder="1" applyAlignment="0"/>
    <xf xfId="0" fontId="5" numFmtId="0" fillId="9" borderId="1" applyFont="1" applyNumberFormat="0" applyFill="1" applyBorder="1" applyAlignment="0"/>
    <xf xfId="0" fontId="11" numFmtId="0" fillId="9" borderId="1" applyFont="1" applyNumberFormat="0" applyFill="1" applyBorder="1" applyAlignment="1">
      <alignment horizontal="center" vertical="center" textRotation="0" wrapText="false" shrinkToFit="false"/>
    </xf>
    <xf xfId="0" fontId="18" numFmtId="0" fillId="9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6366f1"/>
    <outlinePr summaryBelow="1" summaryRight="1"/>
  </sheetPr>
  <dimension ref="A1:M93"/>
  <sheetViews>
    <sheetView tabSelected="1" workbookViewId="0" showGridLines="true" showRowColHeaders="1">
      <pane ySplit="4" topLeftCell="A5" activePane="bottomLeft" state="frozen"/>
      <selection pane="bottomLeft" activeCell="A93" sqref="A93:M93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22" customWidth="true" style="0"/>
    <col min="4" max="4" width="16" customWidth="true" style="0"/>
    <col min="5" max="5" width="16" customWidth="true" style="0"/>
    <col min="6" max="6" width="38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3" customHeight="1" ht="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customHeight="1" ht="2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customHeight="1" ht="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customHeight="1" ht="2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spans="1:13">
      <c r="A8" s="9">
        <v>1</v>
      </c>
      <c r="B8" s="9" t="s">
        <v>11</v>
      </c>
      <c r="C8" s="8" t="s">
        <v>12</v>
      </c>
      <c r="D8" s="9">
        <v>9.0</v>
      </c>
      <c r="E8" s="10" t="s">
        <v>13</v>
      </c>
      <c r="F8" s="8" t="s">
        <v>14</v>
      </c>
    </row>
    <row r="9" spans="1:13">
      <c r="A9" s="12">
        <v>2</v>
      </c>
      <c r="B9" s="12" t="s">
        <v>11</v>
      </c>
      <c r="C9" s="11" t="s">
        <v>15</v>
      </c>
      <c r="D9" s="12">
        <v>8.0</v>
      </c>
      <c r="E9" s="13" t="s">
        <v>13</v>
      </c>
      <c r="F9" s="11" t="s">
        <v>16</v>
      </c>
    </row>
    <row r="10" spans="1:13">
      <c r="A10" s="9">
        <v>3</v>
      </c>
      <c r="B10" s="9" t="s">
        <v>17</v>
      </c>
      <c r="C10" s="8" t="s">
        <v>18</v>
      </c>
      <c r="D10" s="9">
        <v>6.0</v>
      </c>
      <c r="E10" s="14" t="s">
        <v>19</v>
      </c>
      <c r="F10" s="8" t="s">
        <v>20</v>
      </c>
    </row>
    <row r="11" spans="1:13">
      <c r="A11" s="12">
        <v>4</v>
      </c>
      <c r="B11" s="12" t="s">
        <v>17</v>
      </c>
      <c r="C11" s="11" t="s">
        <v>21</v>
      </c>
      <c r="D11" s="12">
        <v>7.0</v>
      </c>
      <c r="E11" s="15" t="s">
        <v>19</v>
      </c>
      <c r="F11" s="11" t="s">
        <v>22</v>
      </c>
    </row>
    <row r="12" spans="1:13">
      <c r="A12" s="9">
        <v>5</v>
      </c>
      <c r="B12" s="9" t="s">
        <v>23</v>
      </c>
      <c r="C12" s="8" t="s">
        <v>24</v>
      </c>
      <c r="D12" s="9">
        <v>6.0</v>
      </c>
      <c r="E12" s="10" t="s">
        <v>13</v>
      </c>
      <c r="F12" s="8" t="s">
        <v>25</v>
      </c>
    </row>
    <row r="13" spans="1:13">
      <c r="A13" s="12">
        <v>6</v>
      </c>
      <c r="B13" s="12" t="s">
        <v>23</v>
      </c>
      <c r="C13" s="11" t="s">
        <v>26</v>
      </c>
      <c r="D13" s="12">
        <v>7.0</v>
      </c>
      <c r="E13" s="13" t="s">
        <v>13</v>
      </c>
      <c r="F13" s="11" t="s">
        <v>27</v>
      </c>
    </row>
    <row r="14" spans="1:13">
      <c r="A14" s="9">
        <v>7</v>
      </c>
      <c r="B14" s="9" t="s">
        <v>28</v>
      </c>
      <c r="C14" s="8" t="s">
        <v>29</v>
      </c>
      <c r="D14" s="9">
        <v>4.5</v>
      </c>
      <c r="E14" s="10" t="s">
        <v>13</v>
      </c>
      <c r="F14" s="8" t="s">
        <v>30</v>
      </c>
    </row>
    <row r="15" spans="1:13">
      <c r="A15" s="12">
        <v>8</v>
      </c>
      <c r="B15" s="12" t="s">
        <v>28</v>
      </c>
      <c r="C15" s="11" t="s">
        <v>31</v>
      </c>
      <c r="D15" s="12">
        <v>5.0</v>
      </c>
      <c r="E15" s="13" t="s">
        <v>13</v>
      </c>
      <c r="F15" s="11" t="s">
        <v>32</v>
      </c>
    </row>
    <row r="16" spans="1:13">
      <c r="A16" s="9">
        <v>9</v>
      </c>
      <c r="B16" s="9" t="s">
        <v>33</v>
      </c>
      <c r="C16" s="8" t="s">
        <v>34</v>
      </c>
      <c r="D16" s="9">
        <v>4.5</v>
      </c>
      <c r="E16" s="10" t="s">
        <v>13</v>
      </c>
      <c r="F16" s="8" t="s">
        <v>35</v>
      </c>
    </row>
    <row r="17" spans="1:13">
      <c r="A17" s="12">
        <v>10</v>
      </c>
      <c r="B17" s="12" t="s">
        <v>33</v>
      </c>
      <c r="C17" s="11" t="s">
        <v>36</v>
      </c>
      <c r="D17" s="12">
        <v>3.0</v>
      </c>
      <c r="E17" s="15" t="s">
        <v>19</v>
      </c>
      <c r="F17" s="11" t="s">
        <v>37</v>
      </c>
    </row>
    <row r="18" spans="1:13">
      <c r="A18" s="16"/>
      <c r="B18" s="16"/>
      <c r="C18" s="16" t="s">
        <v>38</v>
      </c>
      <c r="D18" s="17" t="str">
        <f>SUM(D8:D17)</f>
        <v>0</v>
      </c>
      <c r="E18" s="16"/>
      <c r="F18" s="16"/>
    </row>
    <row r="19" spans="1:13">
      <c r="A19" s="6" t="s">
        <v>39</v>
      </c>
      <c r="B19" s="6"/>
      <c r="C19" s="6"/>
      <c r="D19" s="6"/>
      <c r="E19" s="6"/>
      <c r="F19" s="6"/>
    </row>
    <row r="20" spans="1:13" customHeight="1" ht="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customHeight="1" ht="25">
      <c r="A21" s="5" t="s">
        <v>40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6" t="s">
        <v>41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>
      <c r="A23" s="7" t="s">
        <v>5</v>
      </c>
      <c r="B23" s="7" t="s">
        <v>6</v>
      </c>
      <c r="C23" s="7" t="s">
        <v>42</v>
      </c>
      <c r="D23" s="7" t="s">
        <v>10</v>
      </c>
    </row>
    <row r="24" spans="1:13">
      <c r="A24" s="9">
        <v>1</v>
      </c>
      <c r="B24" s="9" t="s">
        <v>43</v>
      </c>
      <c r="C24" s="8" t="s">
        <v>44</v>
      </c>
      <c r="D24" s="8" t="s">
        <v>45</v>
      </c>
    </row>
    <row r="25" spans="1:13">
      <c r="A25" s="12">
        <v>2</v>
      </c>
      <c r="B25" s="12" t="s">
        <v>43</v>
      </c>
      <c r="C25" s="11" t="s">
        <v>46</v>
      </c>
      <c r="D25" s="11" t="s">
        <v>47</v>
      </c>
    </row>
    <row r="26" spans="1:13">
      <c r="A26" s="9">
        <v>3</v>
      </c>
      <c r="B26" s="9" t="s">
        <v>48</v>
      </c>
      <c r="C26" s="8" t="s">
        <v>49</v>
      </c>
      <c r="D26" s="8" t="s">
        <v>50</v>
      </c>
    </row>
    <row r="27" spans="1:13">
      <c r="A27" s="12">
        <v>4</v>
      </c>
      <c r="B27" s="12" t="s">
        <v>48</v>
      </c>
      <c r="C27" s="11" t="s">
        <v>51</v>
      </c>
      <c r="D27" s="11" t="s">
        <v>52</v>
      </c>
    </row>
    <row r="28" spans="1:13">
      <c r="A28" s="9">
        <v>5</v>
      </c>
      <c r="B28" s="9" t="s">
        <v>53</v>
      </c>
      <c r="C28" s="8" t="s">
        <v>54</v>
      </c>
      <c r="D28" s="8" t="s">
        <v>55</v>
      </c>
    </row>
    <row r="29" spans="1:13">
      <c r="A29" s="12">
        <v>6</v>
      </c>
      <c r="B29" s="12" t="s">
        <v>53</v>
      </c>
      <c r="C29" s="11" t="s">
        <v>56</v>
      </c>
      <c r="D29" s="11" t="s">
        <v>57</v>
      </c>
    </row>
    <row r="30" spans="1:13">
      <c r="A30" s="9">
        <v>7</v>
      </c>
      <c r="B30" s="9" t="s">
        <v>58</v>
      </c>
      <c r="C30" s="8" t="s">
        <v>59</v>
      </c>
      <c r="D30" s="8" t="s">
        <v>45</v>
      </c>
    </row>
    <row r="31" spans="1:13">
      <c r="A31" s="12">
        <v>8</v>
      </c>
      <c r="B31" s="12" t="s">
        <v>58</v>
      </c>
      <c r="C31" s="11" t="s">
        <v>60</v>
      </c>
      <c r="D31" s="11" t="s">
        <v>61</v>
      </c>
    </row>
    <row r="32" spans="1:13">
      <c r="A32" s="9">
        <v>9</v>
      </c>
      <c r="B32" s="9" t="s">
        <v>62</v>
      </c>
      <c r="C32" s="8" t="s">
        <v>63</v>
      </c>
      <c r="D32" s="8" t="s">
        <v>64</v>
      </c>
    </row>
    <row r="33" spans="1:13">
      <c r="A33" s="12">
        <v>10</v>
      </c>
      <c r="B33" s="12" t="s">
        <v>62</v>
      </c>
      <c r="C33" s="11" t="s">
        <v>65</v>
      </c>
      <c r="D33" s="11" t="s">
        <v>66</v>
      </c>
    </row>
    <row r="34" spans="1:13" customHeight="1" ht="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customHeight="1" ht="25">
      <c r="A35" s="5" t="s">
        <v>67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3">
      <c r="A36" s="6" t="s">
        <v>68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3">
      <c r="A37" s="7" t="s">
        <v>69</v>
      </c>
      <c r="B37" s="7" t="s">
        <v>11</v>
      </c>
      <c r="C37" s="7" t="s">
        <v>11</v>
      </c>
      <c r="D37" s="7" t="s">
        <v>17</v>
      </c>
      <c r="E37" s="7" t="s">
        <v>17</v>
      </c>
      <c r="F37" s="7" t="s">
        <v>23</v>
      </c>
      <c r="G37" s="7" t="s">
        <v>23</v>
      </c>
      <c r="H37" s="7" t="s">
        <v>28</v>
      </c>
      <c r="I37" s="7" t="s">
        <v>28</v>
      </c>
      <c r="J37" s="7" t="s">
        <v>33</v>
      </c>
      <c r="K37" s="7" t="s">
        <v>33</v>
      </c>
    </row>
    <row r="38" spans="1:13">
      <c r="A38" s="18" t="s">
        <v>9</v>
      </c>
      <c r="B38" s="19" t="s">
        <v>13</v>
      </c>
      <c r="C38" s="19" t="s">
        <v>13</v>
      </c>
      <c r="D38" s="20" t="s">
        <v>19</v>
      </c>
      <c r="E38" s="20" t="s">
        <v>19</v>
      </c>
      <c r="F38" s="19" t="s">
        <v>13</v>
      </c>
      <c r="G38" s="19" t="s">
        <v>13</v>
      </c>
      <c r="H38" s="19" t="s">
        <v>13</v>
      </c>
      <c r="I38" s="19" t="s">
        <v>13</v>
      </c>
      <c r="J38" s="19" t="s">
        <v>13</v>
      </c>
      <c r="K38" s="20" t="s">
        <v>19</v>
      </c>
    </row>
    <row r="39" spans="1:13">
      <c r="A39" s="21" t="s">
        <v>8</v>
      </c>
      <c r="B39" s="21">
        <v>9.0</v>
      </c>
      <c r="C39" s="21">
        <v>8.0</v>
      </c>
      <c r="D39" s="21">
        <v>6.0</v>
      </c>
      <c r="E39" s="21">
        <v>7.0</v>
      </c>
      <c r="F39" s="21">
        <v>6.0</v>
      </c>
      <c r="G39" s="21">
        <v>7.0</v>
      </c>
      <c r="H39" s="21">
        <v>4.5</v>
      </c>
      <c r="I39" s="21">
        <v>5.0</v>
      </c>
      <c r="J39" s="21">
        <v>4.5</v>
      </c>
      <c r="K39" s="21">
        <v>3.0</v>
      </c>
    </row>
    <row r="40" spans="1:13">
      <c r="A40" s="8" t="s">
        <v>70</v>
      </c>
      <c r="B40" s="9">
        <v>4.0</v>
      </c>
      <c r="C40" s="9">
        <v>0</v>
      </c>
      <c r="D40" s="9">
        <v>2.0</v>
      </c>
      <c r="E40" s="9">
        <v>0</v>
      </c>
      <c r="F40" s="9">
        <v>3.0</v>
      </c>
      <c r="G40" s="9">
        <v>0</v>
      </c>
      <c r="H40" s="9">
        <v>5.0</v>
      </c>
      <c r="I40" s="9">
        <v>0</v>
      </c>
      <c r="J40" s="9">
        <v>4.0</v>
      </c>
      <c r="K40" s="9">
        <v>0</v>
      </c>
    </row>
    <row r="41" spans="1:13">
      <c r="A41" s="11" t="s">
        <v>71</v>
      </c>
      <c r="B41" s="12">
        <v>0</v>
      </c>
      <c r="C41" s="12">
        <v>4.0</v>
      </c>
      <c r="D41" s="12">
        <v>0</v>
      </c>
      <c r="E41" s="12">
        <v>2.0</v>
      </c>
      <c r="F41" s="12">
        <v>0</v>
      </c>
      <c r="G41" s="12">
        <v>4.0</v>
      </c>
      <c r="H41" s="12">
        <v>0</v>
      </c>
      <c r="I41" s="12">
        <v>4.0</v>
      </c>
      <c r="J41" s="12">
        <v>0</v>
      </c>
      <c r="K41" s="12">
        <v>1.0</v>
      </c>
    </row>
    <row r="42" spans="1:13">
      <c r="A42" s="8" t="s">
        <v>72</v>
      </c>
      <c r="B42" s="9">
        <v>3.0</v>
      </c>
      <c r="C42" s="9">
        <v>0</v>
      </c>
      <c r="D42" s="9">
        <v>4.0</v>
      </c>
      <c r="E42" s="9">
        <v>0</v>
      </c>
      <c r="F42" s="9">
        <v>2.0</v>
      </c>
      <c r="G42" s="9">
        <v>0</v>
      </c>
      <c r="H42" s="9">
        <v>4.0</v>
      </c>
      <c r="I42" s="9">
        <v>0</v>
      </c>
      <c r="J42" s="9">
        <v>3.0</v>
      </c>
      <c r="K42" s="9">
        <v>0</v>
      </c>
    </row>
    <row r="43" spans="1:13">
      <c r="A43" s="11" t="s">
        <v>73</v>
      </c>
      <c r="B43" s="12">
        <v>0</v>
      </c>
      <c r="C43" s="12">
        <v>3.0</v>
      </c>
      <c r="D43" s="12">
        <v>0</v>
      </c>
      <c r="E43" s="12">
        <v>1.0</v>
      </c>
      <c r="F43" s="12">
        <v>0</v>
      </c>
      <c r="G43" s="12">
        <v>5.0</v>
      </c>
      <c r="H43" s="12">
        <v>0</v>
      </c>
      <c r="I43" s="12">
        <v>3.0</v>
      </c>
      <c r="J43" s="12">
        <v>0</v>
      </c>
      <c r="K43" s="12">
        <v>2.0</v>
      </c>
    </row>
    <row r="44" spans="1:13">
      <c r="A44" s="8" t="s">
        <v>74</v>
      </c>
      <c r="B44" s="9">
        <v>5.0</v>
      </c>
      <c r="C44" s="9">
        <v>0</v>
      </c>
      <c r="D44" s="9">
        <v>3.0</v>
      </c>
      <c r="E44" s="9">
        <v>0</v>
      </c>
      <c r="F44" s="9">
        <v>4.0</v>
      </c>
      <c r="G44" s="9">
        <v>0</v>
      </c>
      <c r="H44" s="9">
        <v>4.0</v>
      </c>
      <c r="I44" s="9">
        <v>0</v>
      </c>
      <c r="J44" s="9">
        <v>5.0</v>
      </c>
      <c r="K44" s="9">
        <v>0</v>
      </c>
    </row>
    <row r="45" spans="1:13">
      <c r="A45" s="11" t="s">
        <v>75</v>
      </c>
      <c r="B45" s="12">
        <v>0</v>
      </c>
      <c r="C45" s="12">
        <v>5.0</v>
      </c>
      <c r="D45" s="12">
        <v>0</v>
      </c>
      <c r="E45" s="12">
        <v>3.0</v>
      </c>
      <c r="F45" s="12">
        <v>0</v>
      </c>
      <c r="G45" s="12">
        <v>3.0</v>
      </c>
      <c r="H45" s="12">
        <v>0</v>
      </c>
      <c r="I45" s="12">
        <v>5.0</v>
      </c>
      <c r="J45" s="12">
        <v>0</v>
      </c>
      <c r="K45" s="12">
        <v>3.0</v>
      </c>
    </row>
    <row r="46" spans="1:13">
      <c r="A46" s="8" t="s">
        <v>76</v>
      </c>
      <c r="B46" s="9">
        <v>4.0</v>
      </c>
      <c r="C46" s="9">
        <v>0</v>
      </c>
      <c r="D46" s="9">
        <v>1.0</v>
      </c>
      <c r="E46" s="9">
        <v>0</v>
      </c>
      <c r="F46" s="9">
        <v>5.0</v>
      </c>
      <c r="G46" s="9">
        <v>0</v>
      </c>
      <c r="H46" s="9">
        <v>5.0</v>
      </c>
      <c r="I46" s="9">
        <v>0</v>
      </c>
      <c r="J46" s="9">
        <v>4.0</v>
      </c>
      <c r="K46" s="9">
        <v>0</v>
      </c>
    </row>
    <row r="47" spans="1:13">
      <c r="A47" s="11" t="s">
        <v>77</v>
      </c>
      <c r="B47" s="12">
        <v>0</v>
      </c>
      <c r="C47" s="12">
        <v>2.0</v>
      </c>
      <c r="D47" s="12">
        <v>0</v>
      </c>
      <c r="E47" s="12">
        <v>2.0</v>
      </c>
      <c r="F47" s="12">
        <v>0</v>
      </c>
      <c r="G47" s="12">
        <v>4.0</v>
      </c>
      <c r="H47" s="12">
        <v>0</v>
      </c>
      <c r="I47" s="12">
        <v>3.0</v>
      </c>
      <c r="J47" s="12">
        <v>0</v>
      </c>
      <c r="K47" s="12">
        <v>1.0</v>
      </c>
    </row>
    <row r="48" spans="1:13">
      <c r="A48" s="8" t="s">
        <v>78</v>
      </c>
      <c r="B48" s="9">
        <v>3.0</v>
      </c>
      <c r="C48" s="9">
        <v>0</v>
      </c>
      <c r="D48" s="9">
        <v>3.0</v>
      </c>
      <c r="E48" s="9">
        <v>0</v>
      </c>
      <c r="F48" s="9">
        <v>3.0</v>
      </c>
      <c r="G48" s="9">
        <v>0</v>
      </c>
      <c r="H48" s="9">
        <v>3.0</v>
      </c>
      <c r="I48" s="9">
        <v>0</v>
      </c>
      <c r="J48" s="9">
        <v>3.0</v>
      </c>
      <c r="K48" s="9">
        <v>0</v>
      </c>
    </row>
    <row r="49" spans="1:13">
      <c r="A49" s="11" t="s">
        <v>79</v>
      </c>
      <c r="B49" s="12">
        <v>0</v>
      </c>
      <c r="C49" s="12">
        <v>4.0</v>
      </c>
      <c r="D49" s="12">
        <v>0</v>
      </c>
      <c r="E49" s="12">
        <v>4.0</v>
      </c>
      <c r="F49" s="12">
        <v>0</v>
      </c>
      <c r="G49" s="12">
        <v>2.0</v>
      </c>
      <c r="H49" s="12">
        <v>0</v>
      </c>
      <c r="I49" s="12">
        <v>4.0</v>
      </c>
      <c r="J49" s="12">
        <v>0</v>
      </c>
      <c r="K49" s="12">
        <v>4.0</v>
      </c>
    </row>
    <row r="50" spans="1:13" customHeight="1" ht="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customHeight="1" ht="25">
      <c r="A51" s="5" t="s">
        <v>80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3">
      <c r="A52" s="6" t="s">
        <v>81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3">
      <c r="A53" s="7" t="s">
        <v>10</v>
      </c>
      <c r="B53" s="7" t="s">
        <v>11</v>
      </c>
      <c r="C53" s="7" t="s">
        <v>11</v>
      </c>
      <c r="D53" s="7" t="s">
        <v>17</v>
      </c>
      <c r="E53" s="7" t="s">
        <v>17</v>
      </c>
      <c r="F53" s="7" t="s">
        <v>23</v>
      </c>
      <c r="G53" s="7" t="s">
        <v>23</v>
      </c>
      <c r="H53" s="7" t="s">
        <v>28</v>
      </c>
      <c r="I53" s="7" t="s">
        <v>28</v>
      </c>
      <c r="J53" s="7" t="s">
        <v>33</v>
      </c>
      <c r="K53" s="7" t="s">
        <v>33</v>
      </c>
      <c r="L53" s="7" t="s">
        <v>82</v>
      </c>
    </row>
    <row r="54" spans="1:13">
      <c r="A54" s="8" t="s">
        <v>83</v>
      </c>
      <c r="B54" s="9">
        <v>9.0</v>
      </c>
      <c r="C54" s="9">
        <v>8.0</v>
      </c>
      <c r="D54" s="9">
        <v>6.0</v>
      </c>
      <c r="E54" s="9">
        <v>7.0</v>
      </c>
      <c r="F54" s="9">
        <v>6.0</v>
      </c>
      <c r="G54" s="9">
        <v>7.0</v>
      </c>
      <c r="H54" s="9">
        <v>4.5</v>
      </c>
      <c r="I54" s="9">
        <v>5.0</v>
      </c>
      <c r="J54" s="9">
        <v>4.5</v>
      </c>
      <c r="K54" s="9">
        <v>3.0</v>
      </c>
      <c r="L54" s="17" t="str">
        <f>SUM(B54:K54)</f>
        <v>0</v>
      </c>
    </row>
    <row r="55" spans="1:13">
      <c r="A55" s="11" t="s">
        <v>84</v>
      </c>
      <c r="B55" s="22" t="str">
        <f>B54/L54</f>
        <v>0</v>
      </c>
      <c r="C55" s="22" t="str">
        <f>C54/L54</f>
        <v>0</v>
      </c>
      <c r="D55" s="22" t="str">
        <f>D54/L54</f>
        <v>0</v>
      </c>
      <c r="E55" s="22" t="str">
        <f>E54/L54</f>
        <v>0</v>
      </c>
      <c r="F55" s="22" t="str">
        <f>F54/L54</f>
        <v>0</v>
      </c>
      <c r="G55" s="22" t="str">
        <f>G54/L54</f>
        <v>0</v>
      </c>
      <c r="H55" s="22" t="str">
        <f>H54/L54</f>
        <v>0</v>
      </c>
      <c r="I55" s="22" t="str">
        <f>I54/L54</f>
        <v>0</v>
      </c>
      <c r="J55" s="22" t="str">
        <f>J54/L54</f>
        <v>0</v>
      </c>
      <c r="K55" s="22" t="str">
        <f>K54/L54</f>
        <v>0</v>
      </c>
      <c r="L55" s="23" t="str">
        <f>SUM(B55:K55)</f>
        <v>0</v>
      </c>
    </row>
    <row r="56" spans="1:13">
      <c r="A56" s="24" t="s">
        <v>85</v>
      </c>
      <c r="B56" s="25" t="str">
        <f>B55</f>
        <v>0</v>
      </c>
      <c r="C56" s="25" t="str">
        <f>C55</f>
        <v>0</v>
      </c>
      <c r="D56" s="25" t="str">
        <f>-D55</f>
        <v>0</v>
      </c>
      <c r="E56" s="25" t="str">
        <f>-E55</f>
        <v>0</v>
      </c>
      <c r="F56" s="25" t="str">
        <f>F55</f>
        <v>0</v>
      </c>
      <c r="G56" s="25" t="str">
        <f>G55</f>
        <v>0</v>
      </c>
      <c r="H56" s="25" t="str">
        <f>H55</f>
        <v>0</v>
      </c>
      <c r="I56" s="25" t="str">
        <f>I55</f>
        <v>0</v>
      </c>
      <c r="J56" s="25" t="str">
        <f>J55</f>
        <v>0</v>
      </c>
      <c r="K56" s="25" t="str">
        <f>-K55</f>
        <v>0</v>
      </c>
      <c r="L56" s="24"/>
    </row>
    <row r="57" spans="1:13">
      <c r="A57" s="6" t="s">
        <v>86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3" customHeight="1" ht="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customHeight="1" ht="25">
      <c r="A59" s="5" t="s">
        <v>87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3">
      <c r="A60" s="6" t="s">
        <v>88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3">
      <c r="A61" s="7" t="s">
        <v>69</v>
      </c>
      <c r="B61" s="7" t="s">
        <v>89</v>
      </c>
      <c r="C61" s="7" t="s">
        <v>89</v>
      </c>
      <c r="D61" s="7" t="s">
        <v>90</v>
      </c>
      <c r="E61" s="7" t="s">
        <v>90</v>
      </c>
      <c r="F61" s="7" t="s">
        <v>91</v>
      </c>
      <c r="G61" s="7" t="s">
        <v>91</v>
      </c>
      <c r="H61" s="7" t="s">
        <v>92</v>
      </c>
      <c r="I61" s="7" t="s">
        <v>92</v>
      </c>
      <c r="J61" s="7" t="s">
        <v>93</v>
      </c>
      <c r="K61" s="7" t="s">
        <v>93</v>
      </c>
      <c r="L61" s="7" t="s">
        <v>94</v>
      </c>
    </row>
    <row r="62" spans="1:13">
      <c r="A62" s="8" t="s">
        <v>43</v>
      </c>
      <c r="B62" s="26" t="str">
        <f>B40^B$56</f>
        <v>0</v>
      </c>
      <c r="C62" s="26" t="str">
        <f>C40^C$56</f>
        <v>0</v>
      </c>
      <c r="D62" s="26" t="str">
        <f>D40^D$56</f>
        <v>0</v>
      </c>
      <c r="E62" s="26" t="str">
        <f>E40^E$56</f>
        <v>0</v>
      </c>
      <c r="F62" s="26" t="str">
        <f>F40^F$56</f>
        <v>0</v>
      </c>
      <c r="G62" s="26" t="str">
        <f>G40^G$56</f>
        <v>0</v>
      </c>
      <c r="H62" s="26" t="str">
        <f>H40^H$56</f>
        <v>0</v>
      </c>
      <c r="I62" s="26" t="str">
        <f>I40^I$56</f>
        <v>0</v>
      </c>
      <c r="J62" s="26" t="str">
        <f>J40^J$56</f>
        <v>0</v>
      </c>
      <c r="K62" s="26" t="str">
        <f>K40^K$56</f>
        <v>0</v>
      </c>
      <c r="L62" s="27" t="str">
        <f>PRODUCT(B62:K62)</f>
        <v>0</v>
      </c>
    </row>
    <row r="63" spans="1:13">
      <c r="A63" s="11" t="s">
        <v>43</v>
      </c>
      <c r="B63" s="22" t="str">
        <f>B41^B$56</f>
        <v>0</v>
      </c>
      <c r="C63" s="22" t="str">
        <f>C41^C$56</f>
        <v>0</v>
      </c>
      <c r="D63" s="22" t="str">
        <f>D41^D$56</f>
        <v>0</v>
      </c>
      <c r="E63" s="22" t="str">
        <f>E41^E$56</f>
        <v>0</v>
      </c>
      <c r="F63" s="22" t="str">
        <f>F41^F$56</f>
        <v>0</v>
      </c>
      <c r="G63" s="22" t="str">
        <f>G41^G$56</f>
        <v>0</v>
      </c>
      <c r="H63" s="22" t="str">
        <f>H41^H$56</f>
        <v>0</v>
      </c>
      <c r="I63" s="22" t="str">
        <f>I41^I$56</f>
        <v>0</v>
      </c>
      <c r="J63" s="22" t="str">
        <f>J41^J$56</f>
        <v>0</v>
      </c>
      <c r="K63" s="22" t="str">
        <f>K41^K$56</f>
        <v>0</v>
      </c>
      <c r="L63" s="27" t="str">
        <f>PRODUCT(B63:K63)</f>
        <v>0</v>
      </c>
    </row>
    <row r="64" spans="1:13">
      <c r="A64" s="8" t="s">
        <v>48</v>
      </c>
      <c r="B64" s="26" t="str">
        <f>B42^B$56</f>
        <v>0</v>
      </c>
      <c r="C64" s="26" t="str">
        <f>C42^C$56</f>
        <v>0</v>
      </c>
      <c r="D64" s="26" t="str">
        <f>D42^D$56</f>
        <v>0</v>
      </c>
      <c r="E64" s="26" t="str">
        <f>E42^E$56</f>
        <v>0</v>
      </c>
      <c r="F64" s="26" t="str">
        <f>F42^F$56</f>
        <v>0</v>
      </c>
      <c r="G64" s="26" t="str">
        <f>G42^G$56</f>
        <v>0</v>
      </c>
      <c r="H64" s="26" t="str">
        <f>H42^H$56</f>
        <v>0</v>
      </c>
      <c r="I64" s="26" t="str">
        <f>I42^I$56</f>
        <v>0</v>
      </c>
      <c r="J64" s="26" t="str">
        <f>J42^J$56</f>
        <v>0</v>
      </c>
      <c r="K64" s="26" t="str">
        <f>K42^K$56</f>
        <v>0</v>
      </c>
      <c r="L64" s="27" t="str">
        <f>PRODUCT(B64:K64)</f>
        <v>0</v>
      </c>
    </row>
    <row r="65" spans="1:13">
      <c r="A65" s="11" t="s">
        <v>48</v>
      </c>
      <c r="B65" s="22" t="str">
        <f>B43^B$56</f>
        <v>0</v>
      </c>
      <c r="C65" s="22" t="str">
        <f>C43^C$56</f>
        <v>0</v>
      </c>
      <c r="D65" s="22" t="str">
        <f>D43^D$56</f>
        <v>0</v>
      </c>
      <c r="E65" s="22" t="str">
        <f>E43^E$56</f>
        <v>0</v>
      </c>
      <c r="F65" s="22" t="str">
        <f>F43^F$56</f>
        <v>0</v>
      </c>
      <c r="G65" s="22" t="str">
        <f>G43^G$56</f>
        <v>0</v>
      </c>
      <c r="H65" s="22" t="str">
        <f>H43^H$56</f>
        <v>0</v>
      </c>
      <c r="I65" s="22" t="str">
        <f>I43^I$56</f>
        <v>0</v>
      </c>
      <c r="J65" s="22" t="str">
        <f>J43^J$56</f>
        <v>0</v>
      </c>
      <c r="K65" s="22" t="str">
        <f>K43^K$56</f>
        <v>0</v>
      </c>
      <c r="L65" s="27" t="str">
        <f>PRODUCT(B65:K65)</f>
        <v>0</v>
      </c>
    </row>
    <row r="66" spans="1:13">
      <c r="A66" s="8" t="s">
        <v>53</v>
      </c>
      <c r="B66" s="26" t="str">
        <f>B44^B$56</f>
        <v>0</v>
      </c>
      <c r="C66" s="26" t="str">
        <f>C44^C$56</f>
        <v>0</v>
      </c>
      <c r="D66" s="26" t="str">
        <f>D44^D$56</f>
        <v>0</v>
      </c>
      <c r="E66" s="26" t="str">
        <f>E44^E$56</f>
        <v>0</v>
      </c>
      <c r="F66" s="26" t="str">
        <f>F44^F$56</f>
        <v>0</v>
      </c>
      <c r="G66" s="26" t="str">
        <f>G44^G$56</f>
        <v>0</v>
      </c>
      <c r="H66" s="26" t="str">
        <f>H44^H$56</f>
        <v>0</v>
      </c>
      <c r="I66" s="26" t="str">
        <f>I44^I$56</f>
        <v>0</v>
      </c>
      <c r="J66" s="26" t="str">
        <f>J44^J$56</f>
        <v>0</v>
      </c>
      <c r="K66" s="26" t="str">
        <f>K44^K$56</f>
        <v>0</v>
      </c>
      <c r="L66" s="27" t="str">
        <f>PRODUCT(B66:K66)</f>
        <v>0</v>
      </c>
    </row>
    <row r="67" spans="1:13">
      <c r="A67" s="11" t="s">
        <v>53</v>
      </c>
      <c r="B67" s="22" t="str">
        <f>B45^B$56</f>
        <v>0</v>
      </c>
      <c r="C67" s="22" t="str">
        <f>C45^C$56</f>
        <v>0</v>
      </c>
      <c r="D67" s="22" t="str">
        <f>D45^D$56</f>
        <v>0</v>
      </c>
      <c r="E67" s="22" t="str">
        <f>E45^E$56</f>
        <v>0</v>
      </c>
      <c r="F67" s="22" t="str">
        <f>F45^F$56</f>
        <v>0</v>
      </c>
      <c r="G67" s="22" t="str">
        <f>G45^G$56</f>
        <v>0</v>
      </c>
      <c r="H67" s="22" t="str">
        <f>H45^H$56</f>
        <v>0</v>
      </c>
      <c r="I67" s="22" t="str">
        <f>I45^I$56</f>
        <v>0</v>
      </c>
      <c r="J67" s="22" t="str">
        <f>J45^J$56</f>
        <v>0</v>
      </c>
      <c r="K67" s="22" t="str">
        <f>K45^K$56</f>
        <v>0</v>
      </c>
      <c r="L67" s="27" t="str">
        <f>PRODUCT(B67:K67)</f>
        <v>0</v>
      </c>
    </row>
    <row r="68" spans="1:13">
      <c r="A68" s="8" t="s">
        <v>58</v>
      </c>
      <c r="B68" s="26" t="str">
        <f>B46^B$56</f>
        <v>0</v>
      </c>
      <c r="C68" s="26" t="str">
        <f>C46^C$56</f>
        <v>0</v>
      </c>
      <c r="D68" s="26" t="str">
        <f>D46^D$56</f>
        <v>0</v>
      </c>
      <c r="E68" s="26" t="str">
        <f>E46^E$56</f>
        <v>0</v>
      </c>
      <c r="F68" s="26" t="str">
        <f>F46^F$56</f>
        <v>0</v>
      </c>
      <c r="G68" s="26" t="str">
        <f>G46^G$56</f>
        <v>0</v>
      </c>
      <c r="H68" s="26" t="str">
        <f>H46^H$56</f>
        <v>0</v>
      </c>
      <c r="I68" s="26" t="str">
        <f>I46^I$56</f>
        <v>0</v>
      </c>
      <c r="J68" s="26" t="str">
        <f>J46^J$56</f>
        <v>0</v>
      </c>
      <c r="K68" s="26" t="str">
        <f>K46^K$56</f>
        <v>0</v>
      </c>
      <c r="L68" s="27" t="str">
        <f>PRODUCT(B68:K68)</f>
        <v>0</v>
      </c>
    </row>
    <row r="69" spans="1:13">
      <c r="A69" s="11" t="s">
        <v>58</v>
      </c>
      <c r="B69" s="22" t="str">
        <f>B47^B$56</f>
        <v>0</v>
      </c>
      <c r="C69" s="22" t="str">
        <f>C47^C$56</f>
        <v>0</v>
      </c>
      <c r="D69" s="22" t="str">
        <f>D47^D$56</f>
        <v>0</v>
      </c>
      <c r="E69" s="22" t="str">
        <f>E47^E$56</f>
        <v>0</v>
      </c>
      <c r="F69" s="22" t="str">
        <f>F47^F$56</f>
        <v>0</v>
      </c>
      <c r="G69" s="22" t="str">
        <f>G47^G$56</f>
        <v>0</v>
      </c>
      <c r="H69" s="22" t="str">
        <f>H47^H$56</f>
        <v>0</v>
      </c>
      <c r="I69" s="22" t="str">
        <f>I47^I$56</f>
        <v>0</v>
      </c>
      <c r="J69" s="22" t="str">
        <f>J47^J$56</f>
        <v>0</v>
      </c>
      <c r="K69" s="22" t="str">
        <f>K47^K$56</f>
        <v>0</v>
      </c>
      <c r="L69" s="27" t="str">
        <f>PRODUCT(B69:K69)</f>
        <v>0</v>
      </c>
    </row>
    <row r="70" spans="1:13">
      <c r="A70" s="8" t="s">
        <v>62</v>
      </c>
      <c r="B70" s="26" t="str">
        <f>B48^B$56</f>
        <v>0</v>
      </c>
      <c r="C70" s="26" t="str">
        <f>C48^C$56</f>
        <v>0</v>
      </c>
      <c r="D70" s="26" t="str">
        <f>D48^D$56</f>
        <v>0</v>
      </c>
      <c r="E70" s="26" t="str">
        <f>E48^E$56</f>
        <v>0</v>
      </c>
      <c r="F70" s="26" t="str">
        <f>F48^F$56</f>
        <v>0</v>
      </c>
      <c r="G70" s="26" t="str">
        <f>G48^G$56</f>
        <v>0</v>
      </c>
      <c r="H70" s="26" t="str">
        <f>H48^H$56</f>
        <v>0</v>
      </c>
      <c r="I70" s="26" t="str">
        <f>I48^I$56</f>
        <v>0</v>
      </c>
      <c r="J70" s="26" t="str">
        <f>J48^J$56</f>
        <v>0</v>
      </c>
      <c r="K70" s="26" t="str">
        <f>K48^K$56</f>
        <v>0</v>
      </c>
      <c r="L70" s="27" t="str">
        <f>PRODUCT(B70:K70)</f>
        <v>0</v>
      </c>
    </row>
    <row r="71" spans="1:13">
      <c r="A71" s="11" t="s">
        <v>62</v>
      </c>
      <c r="B71" s="22" t="str">
        <f>B49^B$56</f>
        <v>0</v>
      </c>
      <c r="C71" s="22" t="str">
        <f>C49^C$56</f>
        <v>0</v>
      </c>
      <c r="D71" s="22" t="str">
        <f>D49^D$56</f>
        <v>0</v>
      </c>
      <c r="E71" s="22" t="str">
        <f>E49^E$56</f>
        <v>0</v>
      </c>
      <c r="F71" s="22" t="str">
        <f>F49^F$56</f>
        <v>0</v>
      </c>
      <c r="G71" s="22" t="str">
        <f>G49^G$56</f>
        <v>0</v>
      </c>
      <c r="H71" s="22" t="str">
        <f>H49^H$56</f>
        <v>0</v>
      </c>
      <c r="I71" s="22" t="str">
        <f>I49^I$56</f>
        <v>0</v>
      </c>
      <c r="J71" s="22" t="str">
        <f>J49^J$56</f>
        <v>0</v>
      </c>
      <c r="K71" s="22" t="str">
        <f>K49^K$56</f>
        <v>0</v>
      </c>
      <c r="L71" s="27" t="str">
        <f>PRODUCT(B71:K71)</f>
        <v>0</v>
      </c>
    </row>
    <row r="72" spans="1:13">
      <c r="A72" s="28" t="s">
        <v>95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9" t="str">
        <f>SUM(L62:L71)</f>
        <v>0</v>
      </c>
    </row>
    <row r="73" spans="1:13">
      <c r="A73" s="6" t="s">
        <v>96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3" customHeight="1" ht="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customHeight="1" ht="25">
      <c r="A75" s="5" t="s">
        <v>97</v>
      </c>
      <c r="B75" s="5"/>
      <c r="C75" s="5"/>
      <c r="D75" s="5"/>
      <c r="E75" s="5"/>
    </row>
    <row r="76" spans="1:13">
      <c r="A76" s="6" t="s">
        <v>98</v>
      </c>
      <c r="B76" s="6"/>
      <c r="C76" s="6"/>
      <c r="D76" s="6"/>
      <c r="E76" s="6"/>
    </row>
    <row r="77" spans="1:13">
      <c r="A77" s="7" t="s">
        <v>69</v>
      </c>
      <c r="B77" s="7" t="s">
        <v>99</v>
      </c>
      <c r="C77" s="7" t="s">
        <v>100</v>
      </c>
      <c r="D77" s="7" t="s">
        <v>101</v>
      </c>
      <c r="E77" s="7" t="s">
        <v>102</v>
      </c>
    </row>
    <row r="78" spans="1:13">
      <c r="A78" s="30" t="s">
        <v>43</v>
      </c>
      <c r="B78" s="8" t="s">
        <v>44</v>
      </c>
      <c r="C78" s="26" t="str">
        <f>L62</f>
        <v>0</v>
      </c>
      <c r="D78" s="27" t="str">
        <f>L62/L$72</f>
        <v>0</v>
      </c>
      <c r="E78" s="9" t="str">
        <f>RANK(D78,$D$78:$D$87,0)</f>
        <v>0</v>
      </c>
    </row>
    <row r="79" spans="1:13">
      <c r="A79" s="31" t="s">
        <v>43</v>
      </c>
      <c r="B79" s="11" t="s">
        <v>46</v>
      </c>
      <c r="C79" s="22" t="str">
        <f>L63</f>
        <v>0</v>
      </c>
      <c r="D79" s="27" t="str">
        <f>L63/L$72</f>
        <v>0</v>
      </c>
      <c r="E79" s="12" t="str">
        <f>RANK(D79,$D$78:$D$87,0)</f>
        <v>0</v>
      </c>
    </row>
    <row r="80" spans="1:13">
      <c r="A80" s="30" t="s">
        <v>48</v>
      </c>
      <c r="B80" s="8" t="s">
        <v>49</v>
      </c>
      <c r="C80" s="26" t="str">
        <f>L64</f>
        <v>0</v>
      </c>
      <c r="D80" s="27" t="str">
        <f>L64/L$72</f>
        <v>0</v>
      </c>
      <c r="E80" s="9" t="str">
        <f>RANK(D80,$D$78:$D$87,0)</f>
        <v>0</v>
      </c>
    </row>
    <row r="81" spans="1:13">
      <c r="A81" s="31" t="s">
        <v>48</v>
      </c>
      <c r="B81" s="11" t="s">
        <v>51</v>
      </c>
      <c r="C81" s="22" t="str">
        <f>L65</f>
        <v>0</v>
      </c>
      <c r="D81" s="27" t="str">
        <f>L65/L$72</f>
        <v>0</v>
      </c>
      <c r="E81" s="12" t="str">
        <f>RANK(D81,$D$78:$D$87,0)</f>
        <v>0</v>
      </c>
    </row>
    <row r="82" spans="1:13">
      <c r="A82" s="30" t="s">
        <v>53</v>
      </c>
      <c r="B82" s="8" t="s">
        <v>54</v>
      </c>
      <c r="C82" s="26" t="str">
        <f>L66</f>
        <v>0</v>
      </c>
      <c r="D82" s="27" t="str">
        <f>L66/L$72</f>
        <v>0</v>
      </c>
      <c r="E82" s="9" t="str">
        <f>RANK(D82,$D$78:$D$87,0)</f>
        <v>0</v>
      </c>
    </row>
    <row r="83" spans="1:13">
      <c r="A83" s="31" t="s">
        <v>53</v>
      </c>
      <c r="B83" s="11" t="s">
        <v>56</v>
      </c>
      <c r="C83" s="22" t="str">
        <f>L67</f>
        <v>0</v>
      </c>
      <c r="D83" s="27" t="str">
        <f>L67/L$72</f>
        <v>0</v>
      </c>
      <c r="E83" s="12" t="str">
        <f>RANK(D83,$D$78:$D$87,0)</f>
        <v>0</v>
      </c>
    </row>
    <row r="84" spans="1:13">
      <c r="A84" s="30" t="s">
        <v>58</v>
      </c>
      <c r="B84" s="8" t="s">
        <v>59</v>
      </c>
      <c r="C84" s="26" t="str">
        <f>L68</f>
        <v>0</v>
      </c>
      <c r="D84" s="27" t="str">
        <f>L68/L$72</f>
        <v>0</v>
      </c>
      <c r="E84" s="9" t="str">
        <f>RANK(D84,$D$78:$D$87,0)</f>
        <v>0</v>
      </c>
    </row>
    <row r="85" spans="1:13">
      <c r="A85" s="31" t="s">
        <v>58</v>
      </c>
      <c r="B85" s="11" t="s">
        <v>60</v>
      </c>
      <c r="C85" s="22" t="str">
        <f>L69</f>
        <v>0</v>
      </c>
      <c r="D85" s="27" t="str">
        <f>L69/L$72</f>
        <v>0</v>
      </c>
      <c r="E85" s="12" t="str">
        <f>RANK(D85,$D$78:$D$87,0)</f>
        <v>0</v>
      </c>
    </row>
    <row r="86" spans="1:13">
      <c r="A86" s="30" t="s">
        <v>62</v>
      </c>
      <c r="B86" s="8" t="s">
        <v>63</v>
      </c>
      <c r="C86" s="26" t="str">
        <f>L70</f>
        <v>0</v>
      </c>
      <c r="D86" s="27" t="str">
        <f>L70/L$72</f>
        <v>0</v>
      </c>
      <c r="E86" s="9" t="str">
        <f>RANK(D86,$D$78:$D$87,0)</f>
        <v>0</v>
      </c>
    </row>
    <row r="87" spans="1:13">
      <c r="A87" s="31" t="s">
        <v>62</v>
      </c>
      <c r="B87" s="11" t="s">
        <v>65</v>
      </c>
      <c r="C87" s="22" t="str">
        <f>L71</f>
        <v>0</v>
      </c>
      <c r="D87" s="27" t="str">
        <f>L71/L$72</f>
        <v>0</v>
      </c>
      <c r="E87" s="12" t="str">
        <f>RANK(D87,$D$78:$D$87,0)</f>
        <v>0</v>
      </c>
    </row>
    <row r="89" spans="1:13">
      <c r="A89" s="6" t="s">
        <v>103</v>
      </c>
      <c r="B89" s="6"/>
      <c r="C89" s="6"/>
      <c r="D89" s="6"/>
      <c r="E89" s="6"/>
    </row>
    <row r="90" spans="1:13" customHeight="1" ht="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customHeight="1" ht="28">
      <c r="A91" s="32" t="s">
        <v>104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>
      <c r="A92" s="33" t="s">
        <v>105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>
      <c r="A93" s="34" t="s">
        <v>106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</sheetData>
  <mergeCells>
    <mergeCell ref="A1:M1"/>
    <mergeCell ref="A2:M2"/>
    <mergeCell ref="A3:M3"/>
    <mergeCell ref="A4:M4"/>
    <mergeCell ref="A5:M5"/>
    <mergeCell ref="A6:M6"/>
    <mergeCell ref="A19:F19"/>
    <mergeCell ref="A20:M20"/>
    <mergeCell ref="A21:M21"/>
    <mergeCell ref="A22:M22"/>
    <mergeCell ref="A34:M34"/>
    <mergeCell ref="A35:K35"/>
    <mergeCell ref="A36:K36"/>
    <mergeCell ref="A50:M50"/>
    <mergeCell ref="A51:L51"/>
    <mergeCell ref="A52:L52"/>
    <mergeCell ref="A57:L57"/>
    <mergeCell ref="A58:M58"/>
    <mergeCell ref="A59:L59"/>
    <mergeCell ref="A60:L60"/>
    <mergeCell ref="A73:L73"/>
    <mergeCell ref="A74:M74"/>
    <mergeCell ref="A75:E75"/>
    <mergeCell ref="A76:E76"/>
    <mergeCell ref="A89:E89"/>
    <mergeCell ref="A90:M90"/>
    <mergeCell ref="A91:M91"/>
    <mergeCell ref="A92:M92"/>
    <mergeCell ref="A93:M9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10b981"/>
    <outlinePr summaryBelow="1" summaryRight="1"/>
  </sheetPr>
  <dimension ref="A1:M109"/>
  <sheetViews>
    <sheetView tabSelected="0" workbookViewId="0" showGridLines="true" showRowColHeaders="1">
      <pane ySplit="4" topLeftCell="A5" activePane="bottomLeft" state="frozen"/>
      <selection pane="bottomLeft" activeCell="A109" sqref="A109:M109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22" customWidth="true" style="0"/>
    <col min="4" max="4" width="16" customWidth="true" style="0"/>
    <col min="5" max="5" width="16" customWidth="true" style="0"/>
    <col min="6" max="6" width="38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3" customHeight="1" ht="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customHeight="1" ht="28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customHeight="1" ht="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customHeight="1" ht="25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>
      <c r="A6" s="37" t="s">
        <v>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13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spans="1:13">
      <c r="A8" s="9">
        <v>1</v>
      </c>
      <c r="B8" s="9" t="s">
        <v>11</v>
      </c>
      <c r="C8" s="8" t="s">
        <v>12</v>
      </c>
      <c r="D8" s="9">
        <v>9.0</v>
      </c>
      <c r="E8" s="10" t="s">
        <v>13</v>
      </c>
      <c r="F8" s="8" t="s">
        <v>14</v>
      </c>
    </row>
    <row r="9" spans="1:13">
      <c r="A9" s="12">
        <v>2</v>
      </c>
      <c r="B9" s="12" t="s">
        <v>11</v>
      </c>
      <c r="C9" s="11" t="s">
        <v>15</v>
      </c>
      <c r="D9" s="12">
        <v>8.0</v>
      </c>
      <c r="E9" s="13" t="s">
        <v>13</v>
      </c>
      <c r="F9" s="11" t="s">
        <v>16</v>
      </c>
    </row>
    <row r="10" spans="1:13">
      <c r="A10" s="9">
        <v>3</v>
      </c>
      <c r="B10" s="9" t="s">
        <v>17</v>
      </c>
      <c r="C10" s="8" t="s">
        <v>18</v>
      </c>
      <c r="D10" s="9">
        <v>6.0</v>
      </c>
      <c r="E10" s="14" t="s">
        <v>19</v>
      </c>
      <c r="F10" s="8" t="s">
        <v>20</v>
      </c>
    </row>
    <row r="11" spans="1:13">
      <c r="A11" s="12">
        <v>4</v>
      </c>
      <c r="B11" s="12" t="s">
        <v>17</v>
      </c>
      <c r="C11" s="11" t="s">
        <v>21</v>
      </c>
      <c r="D11" s="12">
        <v>7.0</v>
      </c>
      <c r="E11" s="15" t="s">
        <v>19</v>
      </c>
      <c r="F11" s="11" t="s">
        <v>22</v>
      </c>
    </row>
    <row r="12" spans="1:13">
      <c r="A12" s="9">
        <v>5</v>
      </c>
      <c r="B12" s="9" t="s">
        <v>23</v>
      </c>
      <c r="C12" s="8" t="s">
        <v>24</v>
      </c>
      <c r="D12" s="9">
        <v>6.0</v>
      </c>
      <c r="E12" s="10" t="s">
        <v>13</v>
      </c>
      <c r="F12" s="8" t="s">
        <v>25</v>
      </c>
    </row>
    <row r="13" spans="1:13">
      <c r="A13" s="12">
        <v>6</v>
      </c>
      <c r="B13" s="12" t="s">
        <v>23</v>
      </c>
      <c r="C13" s="11" t="s">
        <v>26</v>
      </c>
      <c r="D13" s="12">
        <v>7.0</v>
      </c>
      <c r="E13" s="13" t="s">
        <v>13</v>
      </c>
      <c r="F13" s="11" t="s">
        <v>27</v>
      </c>
    </row>
    <row r="14" spans="1:13">
      <c r="A14" s="9">
        <v>7</v>
      </c>
      <c r="B14" s="9" t="s">
        <v>28</v>
      </c>
      <c r="C14" s="8" t="s">
        <v>29</v>
      </c>
      <c r="D14" s="9">
        <v>4.5</v>
      </c>
      <c r="E14" s="10" t="s">
        <v>13</v>
      </c>
      <c r="F14" s="8" t="s">
        <v>30</v>
      </c>
    </row>
    <row r="15" spans="1:13">
      <c r="A15" s="12">
        <v>8</v>
      </c>
      <c r="B15" s="12" t="s">
        <v>28</v>
      </c>
      <c r="C15" s="11" t="s">
        <v>31</v>
      </c>
      <c r="D15" s="12">
        <v>5.0</v>
      </c>
      <c r="E15" s="13" t="s">
        <v>13</v>
      </c>
      <c r="F15" s="11" t="s">
        <v>32</v>
      </c>
    </row>
    <row r="16" spans="1:13">
      <c r="A16" s="9">
        <v>9</v>
      </c>
      <c r="B16" s="9" t="s">
        <v>33</v>
      </c>
      <c r="C16" s="8" t="s">
        <v>34</v>
      </c>
      <c r="D16" s="9">
        <v>4.5</v>
      </c>
      <c r="E16" s="10" t="s">
        <v>13</v>
      </c>
      <c r="F16" s="8" t="s">
        <v>35</v>
      </c>
    </row>
    <row r="17" spans="1:13">
      <c r="A17" s="12">
        <v>10</v>
      </c>
      <c r="B17" s="12" t="s">
        <v>33</v>
      </c>
      <c r="C17" s="11" t="s">
        <v>36</v>
      </c>
      <c r="D17" s="12">
        <v>3.0</v>
      </c>
      <c r="E17" s="15" t="s">
        <v>19</v>
      </c>
      <c r="F17" s="11" t="s">
        <v>37</v>
      </c>
    </row>
    <row r="18" spans="1:13">
      <c r="A18" s="16"/>
      <c r="B18" s="16"/>
      <c r="C18" s="16" t="s">
        <v>38</v>
      </c>
      <c r="D18" s="17" t="str">
        <f>SUM(D8:D17)</f>
        <v>0</v>
      </c>
      <c r="E18" s="16"/>
      <c r="F18" s="16"/>
    </row>
    <row r="19" spans="1:13">
      <c r="A19" s="37" t="s">
        <v>39</v>
      </c>
      <c r="B19" s="37"/>
      <c r="C19" s="37"/>
      <c r="D19" s="37"/>
      <c r="E19" s="37"/>
      <c r="F19" s="37"/>
    </row>
    <row r="20" spans="1:13" customHeight="1" ht="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customHeight="1" ht="25">
      <c r="A21" s="36" t="s">
        <v>40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1:13">
      <c r="A22" s="37" t="s">
        <v>41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13">
      <c r="A23" s="7" t="s">
        <v>5</v>
      </c>
      <c r="B23" s="7" t="s">
        <v>6</v>
      </c>
      <c r="C23" s="7" t="s">
        <v>42</v>
      </c>
      <c r="D23" s="7" t="s">
        <v>10</v>
      </c>
    </row>
    <row r="24" spans="1:13">
      <c r="A24" s="9">
        <v>1</v>
      </c>
      <c r="B24" s="9" t="s">
        <v>43</v>
      </c>
      <c r="C24" s="8" t="s">
        <v>44</v>
      </c>
      <c r="D24" s="8" t="s">
        <v>45</v>
      </c>
    </row>
    <row r="25" spans="1:13">
      <c r="A25" s="12">
        <v>2</v>
      </c>
      <c r="B25" s="12" t="s">
        <v>43</v>
      </c>
      <c r="C25" s="11" t="s">
        <v>46</v>
      </c>
      <c r="D25" s="11" t="s">
        <v>47</v>
      </c>
    </row>
    <row r="26" spans="1:13">
      <c r="A26" s="9">
        <v>3</v>
      </c>
      <c r="B26" s="9" t="s">
        <v>48</v>
      </c>
      <c r="C26" s="8" t="s">
        <v>49</v>
      </c>
      <c r="D26" s="8" t="s">
        <v>50</v>
      </c>
    </row>
    <row r="27" spans="1:13">
      <c r="A27" s="12">
        <v>4</v>
      </c>
      <c r="B27" s="12" t="s">
        <v>48</v>
      </c>
      <c r="C27" s="11" t="s">
        <v>51</v>
      </c>
      <c r="D27" s="11" t="s">
        <v>52</v>
      </c>
    </row>
    <row r="28" spans="1:13">
      <c r="A28" s="9">
        <v>5</v>
      </c>
      <c r="B28" s="9" t="s">
        <v>53</v>
      </c>
      <c r="C28" s="8" t="s">
        <v>54</v>
      </c>
      <c r="D28" s="8" t="s">
        <v>55</v>
      </c>
    </row>
    <row r="29" spans="1:13">
      <c r="A29" s="12">
        <v>6</v>
      </c>
      <c r="B29" s="12" t="s">
        <v>53</v>
      </c>
      <c r="C29" s="11" t="s">
        <v>56</v>
      </c>
      <c r="D29" s="11" t="s">
        <v>57</v>
      </c>
    </row>
    <row r="30" spans="1:13">
      <c r="A30" s="9">
        <v>7</v>
      </c>
      <c r="B30" s="9" t="s">
        <v>58</v>
      </c>
      <c r="C30" s="8" t="s">
        <v>59</v>
      </c>
      <c r="D30" s="8" t="s">
        <v>45</v>
      </c>
    </row>
    <row r="31" spans="1:13">
      <c r="A31" s="12">
        <v>8</v>
      </c>
      <c r="B31" s="12" t="s">
        <v>58</v>
      </c>
      <c r="C31" s="11" t="s">
        <v>60</v>
      </c>
      <c r="D31" s="11" t="s">
        <v>61</v>
      </c>
    </row>
    <row r="32" spans="1:13">
      <c r="A32" s="9">
        <v>9</v>
      </c>
      <c r="B32" s="9" t="s">
        <v>62</v>
      </c>
      <c r="C32" s="8" t="s">
        <v>63</v>
      </c>
      <c r="D32" s="8" t="s">
        <v>64</v>
      </c>
    </row>
    <row r="33" spans="1:13">
      <c r="A33" s="12">
        <v>10</v>
      </c>
      <c r="B33" s="12" t="s">
        <v>62</v>
      </c>
      <c r="C33" s="11" t="s">
        <v>65</v>
      </c>
      <c r="D33" s="11" t="s">
        <v>66</v>
      </c>
    </row>
    <row r="34" spans="1:13" customHeight="1" ht="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customHeight="1" ht="25">
      <c r="A35" s="36" t="s">
        <v>108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3">
      <c r="A36" s="37" t="s">
        <v>109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3">
      <c r="A37" s="7" t="s">
        <v>69</v>
      </c>
      <c r="B37" s="7" t="s">
        <v>11</v>
      </c>
      <c r="C37" s="7" t="s">
        <v>11</v>
      </c>
      <c r="D37" s="7" t="s">
        <v>17</v>
      </c>
      <c r="E37" s="7" t="s">
        <v>17</v>
      </c>
      <c r="F37" s="7" t="s">
        <v>23</v>
      </c>
      <c r="G37" s="7" t="s">
        <v>23</v>
      </c>
      <c r="H37" s="7" t="s">
        <v>28</v>
      </c>
      <c r="I37" s="7" t="s">
        <v>28</v>
      </c>
      <c r="J37" s="7" t="s">
        <v>33</v>
      </c>
      <c r="K37" s="7" t="s">
        <v>33</v>
      </c>
    </row>
    <row r="38" spans="1:13">
      <c r="A38" s="38" t="s">
        <v>9</v>
      </c>
      <c r="B38" s="38" t="s">
        <v>13</v>
      </c>
      <c r="C38" s="38" t="s">
        <v>13</v>
      </c>
      <c r="D38" s="38" t="s">
        <v>19</v>
      </c>
      <c r="E38" s="38" t="s">
        <v>19</v>
      </c>
      <c r="F38" s="38" t="s">
        <v>13</v>
      </c>
      <c r="G38" s="38" t="s">
        <v>13</v>
      </c>
      <c r="H38" s="38" t="s">
        <v>13</v>
      </c>
      <c r="I38" s="38" t="s">
        <v>13</v>
      </c>
      <c r="J38" s="38" t="s">
        <v>13</v>
      </c>
      <c r="K38" s="38" t="s">
        <v>19</v>
      </c>
    </row>
    <row r="39" spans="1:13">
      <c r="A39" s="39" t="s">
        <v>8</v>
      </c>
      <c r="B39" s="39">
        <v>9.0</v>
      </c>
      <c r="C39" s="39">
        <v>8.0</v>
      </c>
      <c r="D39" s="39">
        <v>6.0</v>
      </c>
      <c r="E39" s="39">
        <v>7.0</v>
      </c>
      <c r="F39" s="39">
        <v>6.0</v>
      </c>
      <c r="G39" s="39">
        <v>7.0</v>
      </c>
      <c r="H39" s="39">
        <v>4.5</v>
      </c>
      <c r="I39" s="39">
        <v>5.0</v>
      </c>
      <c r="J39" s="39">
        <v>4.5</v>
      </c>
      <c r="K39" s="39">
        <v>3.0</v>
      </c>
    </row>
    <row r="40" spans="1:13">
      <c r="A40" s="8" t="s">
        <v>70</v>
      </c>
      <c r="B40" s="9">
        <v>4.0</v>
      </c>
      <c r="C40" s="9">
        <v>0</v>
      </c>
      <c r="D40" s="9">
        <v>2.0</v>
      </c>
      <c r="E40" s="9">
        <v>0</v>
      </c>
      <c r="F40" s="9">
        <v>3.0</v>
      </c>
      <c r="G40" s="9">
        <v>0</v>
      </c>
      <c r="H40" s="9">
        <v>5.0</v>
      </c>
      <c r="I40" s="9">
        <v>0</v>
      </c>
      <c r="J40" s="9">
        <v>4.0</v>
      </c>
      <c r="K40" s="9">
        <v>0</v>
      </c>
    </row>
    <row r="41" spans="1:13">
      <c r="A41" s="11" t="s">
        <v>71</v>
      </c>
      <c r="B41" s="12">
        <v>0</v>
      </c>
      <c r="C41" s="12">
        <v>4.0</v>
      </c>
      <c r="D41" s="12">
        <v>0</v>
      </c>
      <c r="E41" s="12">
        <v>2.0</v>
      </c>
      <c r="F41" s="12">
        <v>0</v>
      </c>
      <c r="G41" s="12">
        <v>4.0</v>
      </c>
      <c r="H41" s="12">
        <v>0</v>
      </c>
      <c r="I41" s="12">
        <v>4.0</v>
      </c>
      <c r="J41" s="12">
        <v>0</v>
      </c>
      <c r="K41" s="12">
        <v>1.0</v>
      </c>
    </row>
    <row r="42" spans="1:13">
      <c r="A42" s="8" t="s">
        <v>72</v>
      </c>
      <c r="B42" s="9">
        <v>3.0</v>
      </c>
      <c r="C42" s="9">
        <v>0</v>
      </c>
      <c r="D42" s="9">
        <v>4.0</v>
      </c>
      <c r="E42" s="9">
        <v>0</v>
      </c>
      <c r="F42" s="9">
        <v>2.0</v>
      </c>
      <c r="G42" s="9">
        <v>0</v>
      </c>
      <c r="H42" s="9">
        <v>4.0</v>
      </c>
      <c r="I42" s="9">
        <v>0</v>
      </c>
      <c r="J42" s="9">
        <v>3.0</v>
      </c>
      <c r="K42" s="9">
        <v>0</v>
      </c>
    </row>
    <row r="43" spans="1:13">
      <c r="A43" s="11" t="s">
        <v>73</v>
      </c>
      <c r="B43" s="12">
        <v>0</v>
      </c>
      <c r="C43" s="12">
        <v>3.0</v>
      </c>
      <c r="D43" s="12">
        <v>0</v>
      </c>
      <c r="E43" s="12">
        <v>1.0</v>
      </c>
      <c r="F43" s="12">
        <v>0</v>
      </c>
      <c r="G43" s="12">
        <v>5.0</v>
      </c>
      <c r="H43" s="12">
        <v>0</v>
      </c>
      <c r="I43" s="12">
        <v>3.0</v>
      </c>
      <c r="J43" s="12">
        <v>0</v>
      </c>
      <c r="K43" s="12">
        <v>2.0</v>
      </c>
    </row>
    <row r="44" spans="1:13">
      <c r="A44" s="8" t="s">
        <v>74</v>
      </c>
      <c r="B44" s="9">
        <v>5.0</v>
      </c>
      <c r="C44" s="9">
        <v>0</v>
      </c>
      <c r="D44" s="9">
        <v>3.0</v>
      </c>
      <c r="E44" s="9">
        <v>0</v>
      </c>
      <c r="F44" s="9">
        <v>4.0</v>
      </c>
      <c r="G44" s="9">
        <v>0</v>
      </c>
      <c r="H44" s="9">
        <v>4.0</v>
      </c>
      <c r="I44" s="9">
        <v>0</v>
      </c>
      <c r="J44" s="9">
        <v>5.0</v>
      </c>
      <c r="K44" s="9">
        <v>0</v>
      </c>
    </row>
    <row r="45" spans="1:13">
      <c r="A45" s="11" t="s">
        <v>75</v>
      </c>
      <c r="B45" s="12">
        <v>0</v>
      </c>
      <c r="C45" s="12">
        <v>5.0</v>
      </c>
      <c r="D45" s="12">
        <v>0</v>
      </c>
      <c r="E45" s="12">
        <v>3.0</v>
      </c>
      <c r="F45" s="12">
        <v>0</v>
      </c>
      <c r="G45" s="12">
        <v>3.0</v>
      </c>
      <c r="H45" s="12">
        <v>0</v>
      </c>
      <c r="I45" s="12">
        <v>5.0</v>
      </c>
      <c r="J45" s="12">
        <v>0</v>
      </c>
      <c r="K45" s="12">
        <v>3.0</v>
      </c>
    </row>
    <row r="46" spans="1:13">
      <c r="A46" s="8" t="s">
        <v>76</v>
      </c>
      <c r="B46" s="9">
        <v>4.0</v>
      </c>
      <c r="C46" s="9">
        <v>0</v>
      </c>
      <c r="D46" s="9">
        <v>1.0</v>
      </c>
      <c r="E46" s="9">
        <v>0</v>
      </c>
      <c r="F46" s="9">
        <v>5.0</v>
      </c>
      <c r="G46" s="9">
        <v>0</v>
      </c>
      <c r="H46" s="9">
        <v>5.0</v>
      </c>
      <c r="I46" s="9">
        <v>0</v>
      </c>
      <c r="J46" s="9">
        <v>4.0</v>
      </c>
      <c r="K46" s="9">
        <v>0</v>
      </c>
    </row>
    <row r="47" spans="1:13">
      <c r="A47" s="11" t="s">
        <v>77</v>
      </c>
      <c r="B47" s="12">
        <v>0</v>
      </c>
      <c r="C47" s="12">
        <v>2.0</v>
      </c>
      <c r="D47" s="12">
        <v>0</v>
      </c>
      <c r="E47" s="12">
        <v>2.0</v>
      </c>
      <c r="F47" s="12">
        <v>0</v>
      </c>
      <c r="G47" s="12">
        <v>4.0</v>
      </c>
      <c r="H47" s="12">
        <v>0</v>
      </c>
      <c r="I47" s="12">
        <v>3.0</v>
      </c>
      <c r="J47" s="12">
        <v>0</v>
      </c>
      <c r="K47" s="12">
        <v>1.0</v>
      </c>
    </row>
    <row r="48" spans="1:13">
      <c r="A48" s="8" t="s">
        <v>78</v>
      </c>
      <c r="B48" s="9">
        <v>3.0</v>
      </c>
      <c r="C48" s="9">
        <v>0</v>
      </c>
      <c r="D48" s="9">
        <v>3.0</v>
      </c>
      <c r="E48" s="9">
        <v>0</v>
      </c>
      <c r="F48" s="9">
        <v>3.0</v>
      </c>
      <c r="G48" s="9">
        <v>0</v>
      </c>
      <c r="H48" s="9">
        <v>3.0</v>
      </c>
      <c r="I48" s="9">
        <v>0</v>
      </c>
      <c r="J48" s="9">
        <v>3.0</v>
      </c>
      <c r="K48" s="9">
        <v>0</v>
      </c>
    </row>
    <row r="49" spans="1:13">
      <c r="A49" s="11" t="s">
        <v>79</v>
      </c>
      <c r="B49" s="12">
        <v>0</v>
      </c>
      <c r="C49" s="12">
        <v>4.0</v>
      </c>
      <c r="D49" s="12">
        <v>0</v>
      </c>
      <c r="E49" s="12">
        <v>4.0</v>
      </c>
      <c r="F49" s="12">
        <v>0</v>
      </c>
      <c r="G49" s="12">
        <v>2.0</v>
      </c>
      <c r="H49" s="12">
        <v>0</v>
      </c>
      <c r="I49" s="12">
        <v>4.0</v>
      </c>
      <c r="J49" s="12">
        <v>0</v>
      </c>
      <c r="K49" s="12">
        <v>4.0</v>
      </c>
    </row>
    <row r="50" spans="1:13">
      <c r="A50" s="16" t="s">
        <v>110</v>
      </c>
      <c r="B50" s="17" t="str">
        <f>MAX(B40:B49)</f>
        <v>0</v>
      </c>
      <c r="C50" s="17" t="str">
        <f>MAX(C40:C49)</f>
        <v>0</v>
      </c>
      <c r="D50" s="17" t="str">
        <f>MAX(D40:D49)</f>
        <v>0</v>
      </c>
      <c r="E50" s="17" t="str">
        <f>MAX(E40:E49)</f>
        <v>0</v>
      </c>
      <c r="F50" s="17" t="str">
        <f>MAX(F40:F49)</f>
        <v>0</v>
      </c>
      <c r="G50" s="17" t="str">
        <f>MAX(G40:G49)</f>
        <v>0</v>
      </c>
      <c r="H50" s="17" t="str">
        <f>MAX(H40:H49)</f>
        <v>0</v>
      </c>
      <c r="I50" s="17" t="str">
        <f>MAX(I40:I49)</f>
        <v>0</v>
      </c>
      <c r="J50" s="17" t="str">
        <f>MAX(J40:J49)</f>
        <v>0</v>
      </c>
      <c r="K50" s="17" t="str">
        <f>MAX(K40:K49)</f>
        <v>0</v>
      </c>
    </row>
    <row r="51" spans="1:13">
      <c r="A51" s="16" t="s">
        <v>111</v>
      </c>
      <c r="B51" s="17" t="str">
        <f>MIN(B40:B49)</f>
        <v>0</v>
      </c>
      <c r="C51" s="17" t="str">
        <f>MIN(C40:C49)</f>
        <v>0</v>
      </c>
      <c r="D51" s="17" t="str">
        <f>MIN(D40:D49)</f>
        <v>0</v>
      </c>
      <c r="E51" s="17" t="str">
        <f>MIN(E40:E49)</f>
        <v>0</v>
      </c>
      <c r="F51" s="17" t="str">
        <f>MIN(F40:F49)</f>
        <v>0</v>
      </c>
      <c r="G51" s="17" t="str">
        <f>MIN(G40:G49)</f>
        <v>0</v>
      </c>
      <c r="H51" s="17" t="str">
        <f>MIN(H40:H49)</f>
        <v>0</v>
      </c>
      <c r="I51" s="17" t="str">
        <f>MIN(I40:I49)</f>
        <v>0</v>
      </c>
      <c r="J51" s="17" t="str">
        <f>MIN(J40:J49)</f>
        <v>0</v>
      </c>
      <c r="K51" s="17" t="str">
        <f>MIN(K40:K49)</f>
        <v>0</v>
      </c>
    </row>
    <row r="52" spans="1:13">
      <c r="A52" s="37" t="s">
        <v>112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3" customHeight="1" ht="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customHeight="1" ht="25">
      <c r="A54" s="36" t="s">
        <v>80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3">
      <c r="A55" s="37" t="s">
        <v>113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spans="1:13">
      <c r="A56" s="7" t="s">
        <v>10</v>
      </c>
      <c r="B56" s="7" t="s">
        <v>11</v>
      </c>
      <c r="C56" s="7" t="s">
        <v>11</v>
      </c>
      <c r="D56" s="7" t="s">
        <v>17</v>
      </c>
      <c r="E56" s="7" t="s">
        <v>17</v>
      </c>
      <c r="F56" s="7" t="s">
        <v>23</v>
      </c>
      <c r="G56" s="7" t="s">
        <v>23</v>
      </c>
      <c r="H56" s="7" t="s">
        <v>28</v>
      </c>
      <c r="I56" s="7" t="s">
        <v>28</v>
      </c>
      <c r="J56" s="7" t="s">
        <v>33</v>
      </c>
      <c r="K56" s="7" t="s">
        <v>33</v>
      </c>
      <c r="L56" s="7" t="s">
        <v>82</v>
      </c>
    </row>
    <row r="57" spans="1:13">
      <c r="A57" s="8" t="s">
        <v>83</v>
      </c>
      <c r="B57" s="9">
        <v>9.0</v>
      </c>
      <c r="C57" s="9">
        <v>8.0</v>
      </c>
      <c r="D57" s="9">
        <v>6.0</v>
      </c>
      <c r="E57" s="9">
        <v>7.0</v>
      </c>
      <c r="F57" s="9">
        <v>6.0</v>
      </c>
      <c r="G57" s="9">
        <v>7.0</v>
      </c>
      <c r="H57" s="9">
        <v>4.5</v>
      </c>
      <c r="I57" s="9">
        <v>5.0</v>
      </c>
      <c r="J57" s="9">
        <v>4.5</v>
      </c>
      <c r="K57" s="9">
        <v>3.0</v>
      </c>
      <c r="L57" s="17" t="str">
        <f>SUM(B57:K57)</f>
        <v>0</v>
      </c>
    </row>
    <row r="58" spans="1:13">
      <c r="A58" s="11" t="s">
        <v>84</v>
      </c>
      <c r="B58" s="22" t="str">
        <f>B57/L57</f>
        <v>0</v>
      </c>
      <c r="C58" s="22" t="str">
        <f>C57/L57</f>
        <v>0</v>
      </c>
      <c r="D58" s="22" t="str">
        <f>D57/L57</f>
        <v>0</v>
      </c>
      <c r="E58" s="22" t="str">
        <f>E57/L57</f>
        <v>0</v>
      </c>
      <c r="F58" s="22" t="str">
        <f>F57/L57</f>
        <v>0</v>
      </c>
      <c r="G58" s="22" t="str">
        <f>G57/L57</f>
        <v>0</v>
      </c>
      <c r="H58" s="22" t="str">
        <f>H57/L57</f>
        <v>0</v>
      </c>
      <c r="I58" s="22" t="str">
        <f>I57/L57</f>
        <v>0</v>
      </c>
      <c r="J58" s="22" t="str">
        <f>J57/L57</f>
        <v>0</v>
      </c>
      <c r="K58" s="22" t="str">
        <f>K57/L57</f>
        <v>0</v>
      </c>
      <c r="L58" s="23" t="str">
        <f>SUM(B58:K58)</f>
        <v>0</v>
      </c>
    </row>
    <row r="59" spans="1:13">
      <c r="A59" s="37" t="s">
        <v>114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spans="1:13" customHeight="1" ht="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customHeight="1" ht="25">
      <c r="A61" s="36" t="s">
        <v>115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</row>
    <row r="62" spans="1:13">
      <c r="A62" s="37" t="s">
        <v>116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3">
      <c r="A63" s="7" t="s">
        <v>69</v>
      </c>
      <c r="B63" s="7" t="s">
        <v>11</v>
      </c>
      <c r="C63" s="7" t="s">
        <v>11</v>
      </c>
      <c r="D63" s="7" t="s">
        <v>17</v>
      </c>
      <c r="E63" s="7" t="s">
        <v>17</v>
      </c>
      <c r="F63" s="7" t="s">
        <v>23</v>
      </c>
      <c r="G63" s="7" t="s">
        <v>23</v>
      </c>
      <c r="H63" s="7" t="s">
        <v>28</v>
      </c>
      <c r="I63" s="7" t="s">
        <v>28</v>
      </c>
      <c r="J63" s="7" t="s">
        <v>33</v>
      </c>
      <c r="K63" s="7" t="s">
        <v>33</v>
      </c>
    </row>
    <row r="64" spans="1:13">
      <c r="A64" s="8" t="s">
        <v>70</v>
      </c>
      <c r="B64" s="26" t="str">
        <f>B40/B$50</f>
        <v>0</v>
      </c>
      <c r="C64" s="26" t="str">
        <f>C40/C$50</f>
        <v>0</v>
      </c>
      <c r="D64" s="26" t="str">
        <f>D$51/D40</f>
        <v>0</v>
      </c>
      <c r="E64" s="26" t="str">
        <f>E$51/E40</f>
        <v>0</v>
      </c>
      <c r="F64" s="26" t="str">
        <f>F40/F$50</f>
        <v>0</v>
      </c>
      <c r="G64" s="26" t="str">
        <f>G40/G$50</f>
        <v>0</v>
      </c>
      <c r="H64" s="26" t="str">
        <f>H40/H$50</f>
        <v>0</v>
      </c>
      <c r="I64" s="26" t="str">
        <f>I40/I$50</f>
        <v>0</v>
      </c>
      <c r="J64" s="26" t="str">
        <f>J40/J$50</f>
        <v>0</v>
      </c>
      <c r="K64" s="26" t="str">
        <f>K$51/K40</f>
        <v>0</v>
      </c>
    </row>
    <row r="65" spans="1:13">
      <c r="A65" s="11" t="s">
        <v>71</v>
      </c>
      <c r="B65" s="22" t="str">
        <f>B41/B$50</f>
        <v>0</v>
      </c>
      <c r="C65" s="22" t="str">
        <f>C41/C$50</f>
        <v>0</v>
      </c>
      <c r="D65" s="22" t="str">
        <f>D$51/D41</f>
        <v>0</v>
      </c>
      <c r="E65" s="22" t="str">
        <f>E$51/E41</f>
        <v>0</v>
      </c>
      <c r="F65" s="22" t="str">
        <f>F41/F$50</f>
        <v>0</v>
      </c>
      <c r="G65" s="22" t="str">
        <f>G41/G$50</f>
        <v>0</v>
      </c>
      <c r="H65" s="22" t="str">
        <f>H41/H$50</f>
        <v>0</v>
      </c>
      <c r="I65" s="22" t="str">
        <f>I41/I$50</f>
        <v>0</v>
      </c>
      <c r="J65" s="22" t="str">
        <f>J41/J$50</f>
        <v>0</v>
      </c>
      <c r="K65" s="22" t="str">
        <f>K$51/K41</f>
        <v>0</v>
      </c>
    </row>
    <row r="66" spans="1:13">
      <c r="A66" s="8" t="s">
        <v>72</v>
      </c>
      <c r="B66" s="26" t="str">
        <f>B42/B$50</f>
        <v>0</v>
      </c>
      <c r="C66" s="26" t="str">
        <f>C42/C$50</f>
        <v>0</v>
      </c>
      <c r="D66" s="26" t="str">
        <f>D$51/D42</f>
        <v>0</v>
      </c>
      <c r="E66" s="26" t="str">
        <f>E$51/E42</f>
        <v>0</v>
      </c>
      <c r="F66" s="26" t="str">
        <f>F42/F$50</f>
        <v>0</v>
      </c>
      <c r="G66" s="26" t="str">
        <f>G42/G$50</f>
        <v>0</v>
      </c>
      <c r="H66" s="26" t="str">
        <f>H42/H$50</f>
        <v>0</v>
      </c>
      <c r="I66" s="26" t="str">
        <f>I42/I$50</f>
        <v>0</v>
      </c>
      <c r="J66" s="26" t="str">
        <f>J42/J$50</f>
        <v>0</v>
      </c>
      <c r="K66" s="26" t="str">
        <f>K$51/K42</f>
        <v>0</v>
      </c>
    </row>
    <row r="67" spans="1:13">
      <c r="A67" s="11" t="s">
        <v>73</v>
      </c>
      <c r="B67" s="22" t="str">
        <f>B43/B$50</f>
        <v>0</v>
      </c>
      <c r="C67" s="22" t="str">
        <f>C43/C$50</f>
        <v>0</v>
      </c>
      <c r="D67" s="22" t="str">
        <f>D$51/D43</f>
        <v>0</v>
      </c>
      <c r="E67" s="22" t="str">
        <f>E$51/E43</f>
        <v>0</v>
      </c>
      <c r="F67" s="22" t="str">
        <f>F43/F$50</f>
        <v>0</v>
      </c>
      <c r="G67" s="22" t="str">
        <f>G43/G$50</f>
        <v>0</v>
      </c>
      <c r="H67" s="22" t="str">
        <f>H43/H$50</f>
        <v>0</v>
      </c>
      <c r="I67" s="22" t="str">
        <f>I43/I$50</f>
        <v>0</v>
      </c>
      <c r="J67" s="22" t="str">
        <f>J43/J$50</f>
        <v>0</v>
      </c>
      <c r="K67" s="22" t="str">
        <f>K$51/K43</f>
        <v>0</v>
      </c>
    </row>
    <row r="68" spans="1:13">
      <c r="A68" s="8" t="s">
        <v>74</v>
      </c>
      <c r="B68" s="26" t="str">
        <f>B44/B$50</f>
        <v>0</v>
      </c>
      <c r="C68" s="26" t="str">
        <f>C44/C$50</f>
        <v>0</v>
      </c>
      <c r="D68" s="26" t="str">
        <f>D$51/D44</f>
        <v>0</v>
      </c>
      <c r="E68" s="26" t="str">
        <f>E$51/E44</f>
        <v>0</v>
      </c>
      <c r="F68" s="26" t="str">
        <f>F44/F$50</f>
        <v>0</v>
      </c>
      <c r="G68" s="26" t="str">
        <f>G44/G$50</f>
        <v>0</v>
      </c>
      <c r="H68" s="26" t="str">
        <f>H44/H$50</f>
        <v>0</v>
      </c>
      <c r="I68" s="26" t="str">
        <f>I44/I$50</f>
        <v>0</v>
      </c>
      <c r="J68" s="26" t="str">
        <f>J44/J$50</f>
        <v>0</v>
      </c>
      <c r="K68" s="26" t="str">
        <f>K$51/K44</f>
        <v>0</v>
      </c>
    </row>
    <row r="69" spans="1:13">
      <c r="A69" s="11" t="s">
        <v>75</v>
      </c>
      <c r="B69" s="22" t="str">
        <f>B45/B$50</f>
        <v>0</v>
      </c>
      <c r="C69" s="22" t="str">
        <f>C45/C$50</f>
        <v>0</v>
      </c>
      <c r="D69" s="22" t="str">
        <f>D$51/D45</f>
        <v>0</v>
      </c>
      <c r="E69" s="22" t="str">
        <f>E$51/E45</f>
        <v>0</v>
      </c>
      <c r="F69" s="22" t="str">
        <f>F45/F$50</f>
        <v>0</v>
      </c>
      <c r="G69" s="22" t="str">
        <f>G45/G$50</f>
        <v>0</v>
      </c>
      <c r="H69" s="22" t="str">
        <f>H45/H$50</f>
        <v>0</v>
      </c>
      <c r="I69" s="22" t="str">
        <f>I45/I$50</f>
        <v>0</v>
      </c>
      <c r="J69" s="22" t="str">
        <f>J45/J$50</f>
        <v>0</v>
      </c>
      <c r="K69" s="22" t="str">
        <f>K$51/K45</f>
        <v>0</v>
      </c>
    </row>
    <row r="70" spans="1:13">
      <c r="A70" s="8" t="s">
        <v>76</v>
      </c>
      <c r="B70" s="26" t="str">
        <f>B46/B$50</f>
        <v>0</v>
      </c>
      <c r="C70" s="26" t="str">
        <f>C46/C$50</f>
        <v>0</v>
      </c>
      <c r="D70" s="26" t="str">
        <f>D$51/D46</f>
        <v>0</v>
      </c>
      <c r="E70" s="26" t="str">
        <f>E$51/E46</f>
        <v>0</v>
      </c>
      <c r="F70" s="26" t="str">
        <f>F46/F$50</f>
        <v>0</v>
      </c>
      <c r="G70" s="26" t="str">
        <f>G46/G$50</f>
        <v>0</v>
      </c>
      <c r="H70" s="26" t="str">
        <f>H46/H$50</f>
        <v>0</v>
      </c>
      <c r="I70" s="26" t="str">
        <f>I46/I$50</f>
        <v>0</v>
      </c>
      <c r="J70" s="26" t="str">
        <f>J46/J$50</f>
        <v>0</v>
      </c>
      <c r="K70" s="26" t="str">
        <f>K$51/K46</f>
        <v>0</v>
      </c>
    </row>
    <row r="71" spans="1:13">
      <c r="A71" s="11" t="s">
        <v>77</v>
      </c>
      <c r="B71" s="22" t="str">
        <f>B47/B$50</f>
        <v>0</v>
      </c>
      <c r="C71" s="22" t="str">
        <f>C47/C$50</f>
        <v>0</v>
      </c>
      <c r="D71" s="22" t="str">
        <f>D$51/D47</f>
        <v>0</v>
      </c>
      <c r="E71" s="22" t="str">
        <f>E$51/E47</f>
        <v>0</v>
      </c>
      <c r="F71" s="22" t="str">
        <f>F47/F$50</f>
        <v>0</v>
      </c>
      <c r="G71" s="22" t="str">
        <f>G47/G$50</f>
        <v>0</v>
      </c>
      <c r="H71" s="22" t="str">
        <f>H47/H$50</f>
        <v>0</v>
      </c>
      <c r="I71" s="22" t="str">
        <f>I47/I$50</f>
        <v>0</v>
      </c>
      <c r="J71" s="22" t="str">
        <f>J47/J$50</f>
        <v>0</v>
      </c>
      <c r="K71" s="22" t="str">
        <f>K$51/K47</f>
        <v>0</v>
      </c>
    </row>
    <row r="72" spans="1:13">
      <c r="A72" s="8" t="s">
        <v>78</v>
      </c>
      <c r="B72" s="26" t="str">
        <f>B48/B$50</f>
        <v>0</v>
      </c>
      <c r="C72" s="26" t="str">
        <f>C48/C$50</f>
        <v>0</v>
      </c>
      <c r="D72" s="26" t="str">
        <f>D$51/D48</f>
        <v>0</v>
      </c>
      <c r="E72" s="26" t="str">
        <f>E$51/E48</f>
        <v>0</v>
      </c>
      <c r="F72" s="26" t="str">
        <f>F48/F$50</f>
        <v>0</v>
      </c>
      <c r="G72" s="26" t="str">
        <f>G48/G$50</f>
        <v>0</v>
      </c>
      <c r="H72" s="26" t="str">
        <f>H48/H$50</f>
        <v>0</v>
      </c>
      <c r="I72" s="26" t="str">
        <f>I48/I$50</f>
        <v>0</v>
      </c>
      <c r="J72" s="26" t="str">
        <f>J48/J$50</f>
        <v>0</v>
      </c>
      <c r="K72" s="26" t="str">
        <f>K$51/K48</f>
        <v>0</v>
      </c>
    </row>
    <row r="73" spans="1:13">
      <c r="A73" s="11" t="s">
        <v>79</v>
      </c>
      <c r="B73" s="22" t="str">
        <f>B49/B$50</f>
        <v>0</v>
      </c>
      <c r="C73" s="22" t="str">
        <f>C49/C$50</f>
        <v>0</v>
      </c>
      <c r="D73" s="22" t="str">
        <f>D$51/D49</f>
        <v>0</v>
      </c>
      <c r="E73" s="22" t="str">
        <f>E$51/E49</f>
        <v>0</v>
      </c>
      <c r="F73" s="22" t="str">
        <f>F49/F$50</f>
        <v>0</v>
      </c>
      <c r="G73" s="22" t="str">
        <f>G49/G$50</f>
        <v>0</v>
      </c>
      <c r="H73" s="22" t="str">
        <f>H49/H$50</f>
        <v>0</v>
      </c>
      <c r="I73" s="22" t="str">
        <f>I49/I$50</f>
        <v>0</v>
      </c>
      <c r="J73" s="22" t="str">
        <f>J49/J$50</f>
        <v>0</v>
      </c>
      <c r="K73" s="22" t="str">
        <f>K$51/K49</f>
        <v>0</v>
      </c>
    </row>
    <row r="74" spans="1:13">
      <c r="A74" s="37" t="s">
        <v>117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3" customHeight="1" ht="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customHeight="1" ht="25">
      <c r="A76" s="36" t="s">
        <v>118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3">
      <c r="A77" s="37" t="s">
        <v>119</v>
      </c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spans="1:13">
      <c r="A78" s="7" t="s">
        <v>69</v>
      </c>
      <c r="B78" s="7" t="s">
        <v>120</v>
      </c>
      <c r="C78" s="7" t="s">
        <v>121</v>
      </c>
      <c r="D78" s="7" t="s">
        <v>122</v>
      </c>
      <c r="E78" s="7" t="s">
        <v>123</v>
      </c>
      <c r="F78" s="7" t="s">
        <v>124</v>
      </c>
      <c r="G78" s="7" t="s">
        <v>125</v>
      </c>
      <c r="H78" s="7" t="s">
        <v>126</v>
      </c>
      <c r="I78" s="7" t="s">
        <v>127</v>
      </c>
      <c r="J78" s="7" t="s">
        <v>128</v>
      </c>
      <c r="K78" s="7" t="s">
        <v>129</v>
      </c>
      <c r="L78" s="7" t="s">
        <v>130</v>
      </c>
    </row>
    <row r="79" spans="1:13">
      <c r="A79" s="8" t="s">
        <v>43</v>
      </c>
      <c r="B79" s="26" t="str">
        <f>B$58*B64</f>
        <v>0</v>
      </c>
      <c r="C79" s="26" t="str">
        <f>C$58*C64</f>
        <v>0</v>
      </c>
      <c r="D79" s="26" t="str">
        <f>D$58*D64</f>
        <v>0</v>
      </c>
      <c r="E79" s="26" t="str">
        <f>E$58*E64</f>
        <v>0</v>
      </c>
      <c r="F79" s="26" t="str">
        <f>F$58*F64</f>
        <v>0</v>
      </c>
      <c r="G79" s="26" t="str">
        <f>G$58*G64</f>
        <v>0</v>
      </c>
      <c r="H79" s="26" t="str">
        <f>H$58*H64</f>
        <v>0</v>
      </c>
      <c r="I79" s="26" t="str">
        <f>I$58*I64</f>
        <v>0</v>
      </c>
      <c r="J79" s="26" t="str">
        <f>J$58*J64</f>
        <v>0</v>
      </c>
      <c r="K79" s="26" t="str">
        <f>K$58*K64</f>
        <v>0</v>
      </c>
      <c r="L79" s="27" t="str">
        <f>SUM(B79:K79)</f>
        <v>0</v>
      </c>
    </row>
    <row r="80" spans="1:13">
      <c r="A80" s="11" t="s">
        <v>43</v>
      </c>
      <c r="B80" s="22" t="str">
        <f>B$58*B65</f>
        <v>0</v>
      </c>
      <c r="C80" s="22" t="str">
        <f>C$58*C65</f>
        <v>0</v>
      </c>
      <c r="D80" s="22" t="str">
        <f>D$58*D65</f>
        <v>0</v>
      </c>
      <c r="E80" s="22" t="str">
        <f>E$58*E65</f>
        <v>0</v>
      </c>
      <c r="F80" s="22" t="str">
        <f>F$58*F65</f>
        <v>0</v>
      </c>
      <c r="G80" s="22" t="str">
        <f>G$58*G65</f>
        <v>0</v>
      </c>
      <c r="H80" s="22" t="str">
        <f>H$58*H65</f>
        <v>0</v>
      </c>
      <c r="I80" s="22" t="str">
        <f>I$58*I65</f>
        <v>0</v>
      </c>
      <c r="J80" s="22" t="str">
        <f>J$58*J65</f>
        <v>0</v>
      </c>
      <c r="K80" s="22" t="str">
        <f>K$58*K65</f>
        <v>0</v>
      </c>
      <c r="L80" s="27" t="str">
        <f>SUM(B80:K80)</f>
        <v>0</v>
      </c>
    </row>
    <row r="81" spans="1:13">
      <c r="A81" s="8" t="s">
        <v>48</v>
      </c>
      <c r="B81" s="26" t="str">
        <f>B$58*B66</f>
        <v>0</v>
      </c>
      <c r="C81" s="26" t="str">
        <f>C$58*C66</f>
        <v>0</v>
      </c>
      <c r="D81" s="26" t="str">
        <f>D$58*D66</f>
        <v>0</v>
      </c>
      <c r="E81" s="26" t="str">
        <f>E$58*E66</f>
        <v>0</v>
      </c>
      <c r="F81" s="26" t="str">
        <f>F$58*F66</f>
        <v>0</v>
      </c>
      <c r="G81" s="26" t="str">
        <f>G$58*G66</f>
        <v>0</v>
      </c>
      <c r="H81" s="26" t="str">
        <f>H$58*H66</f>
        <v>0</v>
      </c>
      <c r="I81" s="26" t="str">
        <f>I$58*I66</f>
        <v>0</v>
      </c>
      <c r="J81" s="26" t="str">
        <f>J$58*J66</f>
        <v>0</v>
      </c>
      <c r="K81" s="26" t="str">
        <f>K$58*K66</f>
        <v>0</v>
      </c>
      <c r="L81" s="27" t="str">
        <f>SUM(B81:K81)</f>
        <v>0</v>
      </c>
    </row>
    <row r="82" spans="1:13">
      <c r="A82" s="11" t="s">
        <v>48</v>
      </c>
      <c r="B82" s="22" t="str">
        <f>B$58*B67</f>
        <v>0</v>
      </c>
      <c r="C82" s="22" t="str">
        <f>C$58*C67</f>
        <v>0</v>
      </c>
      <c r="D82" s="22" t="str">
        <f>D$58*D67</f>
        <v>0</v>
      </c>
      <c r="E82" s="22" t="str">
        <f>E$58*E67</f>
        <v>0</v>
      </c>
      <c r="F82" s="22" t="str">
        <f>F$58*F67</f>
        <v>0</v>
      </c>
      <c r="G82" s="22" t="str">
        <f>G$58*G67</f>
        <v>0</v>
      </c>
      <c r="H82" s="22" t="str">
        <f>H$58*H67</f>
        <v>0</v>
      </c>
      <c r="I82" s="22" t="str">
        <f>I$58*I67</f>
        <v>0</v>
      </c>
      <c r="J82" s="22" t="str">
        <f>J$58*J67</f>
        <v>0</v>
      </c>
      <c r="K82" s="22" t="str">
        <f>K$58*K67</f>
        <v>0</v>
      </c>
      <c r="L82" s="27" t="str">
        <f>SUM(B82:K82)</f>
        <v>0</v>
      </c>
    </row>
    <row r="83" spans="1:13">
      <c r="A83" s="8" t="s">
        <v>53</v>
      </c>
      <c r="B83" s="26" t="str">
        <f>B$58*B68</f>
        <v>0</v>
      </c>
      <c r="C83" s="26" t="str">
        <f>C$58*C68</f>
        <v>0</v>
      </c>
      <c r="D83" s="26" t="str">
        <f>D$58*D68</f>
        <v>0</v>
      </c>
      <c r="E83" s="26" t="str">
        <f>E$58*E68</f>
        <v>0</v>
      </c>
      <c r="F83" s="26" t="str">
        <f>F$58*F68</f>
        <v>0</v>
      </c>
      <c r="G83" s="26" t="str">
        <f>G$58*G68</f>
        <v>0</v>
      </c>
      <c r="H83" s="26" t="str">
        <f>H$58*H68</f>
        <v>0</v>
      </c>
      <c r="I83" s="26" t="str">
        <f>I$58*I68</f>
        <v>0</v>
      </c>
      <c r="J83" s="26" t="str">
        <f>J$58*J68</f>
        <v>0</v>
      </c>
      <c r="K83" s="26" t="str">
        <f>K$58*K68</f>
        <v>0</v>
      </c>
      <c r="L83" s="27" t="str">
        <f>SUM(B83:K83)</f>
        <v>0</v>
      </c>
    </row>
    <row r="84" spans="1:13">
      <c r="A84" s="11" t="s">
        <v>53</v>
      </c>
      <c r="B84" s="22" t="str">
        <f>B$58*B69</f>
        <v>0</v>
      </c>
      <c r="C84" s="22" t="str">
        <f>C$58*C69</f>
        <v>0</v>
      </c>
      <c r="D84" s="22" t="str">
        <f>D$58*D69</f>
        <v>0</v>
      </c>
      <c r="E84" s="22" t="str">
        <f>E$58*E69</f>
        <v>0</v>
      </c>
      <c r="F84" s="22" t="str">
        <f>F$58*F69</f>
        <v>0</v>
      </c>
      <c r="G84" s="22" t="str">
        <f>G$58*G69</f>
        <v>0</v>
      </c>
      <c r="H84" s="22" t="str">
        <f>H$58*H69</f>
        <v>0</v>
      </c>
      <c r="I84" s="22" t="str">
        <f>I$58*I69</f>
        <v>0</v>
      </c>
      <c r="J84" s="22" t="str">
        <f>J$58*J69</f>
        <v>0</v>
      </c>
      <c r="K84" s="22" t="str">
        <f>K$58*K69</f>
        <v>0</v>
      </c>
      <c r="L84" s="27" t="str">
        <f>SUM(B84:K84)</f>
        <v>0</v>
      </c>
    </row>
    <row r="85" spans="1:13">
      <c r="A85" s="8" t="s">
        <v>58</v>
      </c>
      <c r="B85" s="26" t="str">
        <f>B$58*B70</f>
        <v>0</v>
      </c>
      <c r="C85" s="26" t="str">
        <f>C$58*C70</f>
        <v>0</v>
      </c>
      <c r="D85" s="26" t="str">
        <f>D$58*D70</f>
        <v>0</v>
      </c>
      <c r="E85" s="26" t="str">
        <f>E$58*E70</f>
        <v>0</v>
      </c>
      <c r="F85" s="26" t="str">
        <f>F$58*F70</f>
        <v>0</v>
      </c>
      <c r="G85" s="26" t="str">
        <f>G$58*G70</f>
        <v>0</v>
      </c>
      <c r="H85" s="26" t="str">
        <f>H$58*H70</f>
        <v>0</v>
      </c>
      <c r="I85" s="26" t="str">
        <f>I$58*I70</f>
        <v>0</v>
      </c>
      <c r="J85" s="26" t="str">
        <f>J$58*J70</f>
        <v>0</v>
      </c>
      <c r="K85" s="26" t="str">
        <f>K$58*K70</f>
        <v>0</v>
      </c>
      <c r="L85" s="27" t="str">
        <f>SUM(B85:K85)</f>
        <v>0</v>
      </c>
    </row>
    <row r="86" spans="1:13">
      <c r="A86" s="11" t="s">
        <v>58</v>
      </c>
      <c r="B86" s="22" t="str">
        <f>B$58*B71</f>
        <v>0</v>
      </c>
      <c r="C86" s="22" t="str">
        <f>C$58*C71</f>
        <v>0</v>
      </c>
      <c r="D86" s="22" t="str">
        <f>D$58*D71</f>
        <v>0</v>
      </c>
      <c r="E86" s="22" t="str">
        <f>E$58*E71</f>
        <v>0</v>
      </c>
      <c r="F86" s="22" t="str">
        <f>F$58*F71</f>
        <v>0</v>
      </c>
      <c r="G86" s="22" t="str">
        <f>G$58*G71</f>
        <v>0</v>
      </c>
      <c r="H86" s="22" t="str">
        <f>H$58*H71</f>
        <v>0</v>
      </c>
      <c r="I86" s="22" t="str">
        <f>I$58*I71</f>
        <v>0</v>
      </c>
      <c r="J86" s="22" t="str">
        <f>J$58*J71</f>
        <v>0</v>
      </c>
      <c r="K86" s="22" t="str">
        <f>K$58*K71</f>
        <v>0</v>
      </c>
      <c r="L86" s="27" t="str">
        <f>SUM(B86:K86)</f>
        <v>0</v>
      </c>
    </row>
    <row r="87" spans="1:13">
      <c r="A87" s="8" t="s">
        <v>62</v>
      </c>
      <c r="B87" s="26" t="str">
        <f>B$58*B72</f>
        <v>0</v>
      </c>
      <c r="C87" s="26" t="str">
        <f>C$58*C72</f>
        <v>0</v>
      </c>
      <c r="D87" s="26" t="str">
        <f>D$58*D72</f>
        <v>0</v>
      </c>
      <c r="E87" s="26" t="str">
        <f>E$58*E72</f>
        <v>0</v>
      </c>
      <c r="F87" s="26" t="str">
        <f>F$58*F72</f>
        <v>0</v>
      </c>
      <c r="G87" s="26" t="str">
        <f>G$58*G72</f>
        <v>0</v>
      </c>
      <c r="H87" s="26" t="str">
        <f>H$58*H72</f>
        <v>0</v>
      </c>
      <c r="I87" s="26" t="str">
        <f>I$58*I72</f>
        <v>0</v>
      </c>
      <c r="J87" s="26" t="str">
        <f>J$58*J72</f>
        <v>0</v>
      </c>
      <c r="K87" s="26" t="str">
        <f>K$58*K72</f>
        <v>0</v>
      </c>
      <c r="L87" s="27" t="str">
        <f>SUM(B87:K87)</f>
        <v>0</v>
      </c>
    </row>
    <row r="88" spans="1:13">
      <c r="A88" s="11" t="s">
        <v>62</v>
      </c>
      <c r="B88" s="22" t="str">
        <f>B$58*B73</f>
        <v>0</v>
      </c>
      <c r="C88" s="22" t="str">
        <f>C$58*C73</f>
        <v>0</v>
      </c>
      <c r="D88" s="22" t="str">
        <f>D$58*D73</f>
        <v>0</v>
      </c>
      <c r="E88" s="22" t="str">
        <f>E$58*E73</f>
        <v>0</v>
      </c>
      <c r="F88" s="22" t="str">
        <f>F$58*F73</f>
        <v>0</v>
      </c>
      <c r="G88" s="22" t="str">
        <f>G$58*G73</f>
        <v>0</v>
      </c>
      <c r="H88" s="22" t="str">
        <f>H$58*H73</f>
        <v>0</v>
      </c>
      <c r="I88" s="22" t="str">
        <f>I$58*I73</f>
        <v>0</v>
      </c>
      <c r="J88" s="22" t="str">
        <f>J$58*J73</f>
        <v>0</v>
      </c>
      <c r="K88" s="22" t="str">
        <f>K$58*K73</f>
        <v>0</v>
      </c>
      <c r="L88" s="27" t="str">
        <f>SUM(B88:K88)</f>
        <v>0</v>
      </c>
    </row>
    <row r="89" spans="1:13">
      <c r="A89" s="37" t="s">
        <v>131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  <row r="90" spans="1:13" customHeight="1" ht="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customHeight="1" ht="28">
      <c r="A91" s="32" t="s">
        <v>132</v>
      </c>
      <c r="B91" s="28"/>
      <c r="C91" s="28"/>
      <c r="D91" s="28"/>
      <c r="E91" s="28"/>
    </row>
    <row r="92" spans="1:13">
      <c r="A92" s="37" t="s">
        <v>133</v>
      </c>
      <c r="B92" s="37"/>
      <c r="C92" s="37"/>
      <c r="D92" s="37"/>
      <c r="E92" s="37"/>
    </row>
    <row r="93" spans="1:13">
      <c r="A93" s="7" t="s">
        <v>69</v>
      </c>
      <c r="B93" s="7" t="s">
        <v>99</v>
      </c>
      <c r="C93" s="7" t="s">
        <v>101</v>
      </c>
      <c r="D93" s="7" t="s">
        <v>102</v>
      </c>
    </row>
    <row r="94" spans="1:13">
      <c r="A94" s="30" t="s">
        <v>43</v>
      </c>
      <c r="B94" s="8" t="s">
        <v>44</v>
      </c>
      <c r="C94" s="27" t="str">
        <f>L79</f>
        <v>0</v>
      </c>
      <c r="D94" s="9" t="str">
        <f>RANK(C94,$C$94:$C$103,0)</f>
        <v>0</v>
      </c>
    </row>
    <row r="95" spans="1:13">
      <c r="A95" s="31" t="s">
        <v>43</v>
      </c>
      <c r="B95" s="11" t="s">
        <v>46</v>
      </c>
      <c r="C95" s="27" t="str">
        <f>L80</f>
        <v>0</v>
      </c>
      <c r="D95" s="12" t="str">
        <f>RANK(C95,$C$94:$C$103,0)</f>
        <v>0</v>
      </c>
    </row>
    <row r="96" spans="1:13">
      <c r="A96" s="30" t="s">
        <v>48</v>
      </c>
      <c r="B96" s="8" t="s">
        <v>49</v>
      </c>
      <c r="C96" s="27" t="str">
        <f>L81</f>
        <v>0</v>
      </c>
      <c r="D96" s="9" t="str">
        <f>RANK(C96,$C$94:$C$103,0)</f>
        <v>0</v>
      </c>
    </row>
    <row r="97" spans="1:13">
      <c r="A97" s="31" t="s">
        <v>48</v>
      </c>
      <c r="B97" s="11" t="s">
        <v>51</v>
      </c>
      <c r="C97" s="27" t="str">
        <f>L82</f>
        <v>0</v>
      </c>
      <c r="D97" s="12" t="str">
        <f>RANK(C97,$C$94:$C$103,0)</f>
        <v>0</v>
      </c>
    </row>
    <row r="98" spans="1:13">
      <c r="A98" s="30" t="s">
        <v>53</v>
      </c>
      <c r="B98" s="8" t="s">
        <v>54</v>
      </c>
      <c r="C98" s="27" t="str">
        <f>L83</f>
        <v>0</v>
      </c>
      <c r="D98" s="9" t="str">
        <f>RANK(C98,$C$94:$C$103,0)</f>
        <v>0</v>
      </c>
    </row>
    <row r="99" spans="1:13">
      <c r="A99" s="31" t="s">
        <v>53</v>
      </c>
      <c r="B99" s="11" t="s">
        <v>56</v>
      </c>
      <c r="C99" s="27" t="str">
        <f>L84</f>
        <v>0</v>
      </c>
      <c r="D99" s="12" t="str">
        <f>RANK(C99,$C$94:$C$103,0)</f>
        <v>0</v>
      </c>
    </row>
    <row r="100" spans="1:13">
      <c r="A100" s="30" t="s">
        <v>58</v>
      </c>
      <c r="B100" s="8" t="s">
        <v>59</v>
      </c>
      <c r="C100" s="27" t="str">
        <f>L85</f>
        <v>0</v>
      </c>
      <c r="D100" s="9" t="str">
        <f>RANK(C100,$C$94:$C$103,0)</f>
        <v>0</v>
      </c>
    </row>
    <row r="101" spans="1:13">
      <c r="A101" s="31" t="s">
        <v>58</v>
      </c>
      <c r="B101" s="11" t="s">
        <v>60</v>
      </c>
      <c r="C101" s="27" t="str">
        <f>L86</f>
        <v>0</v>
      </c>
      <c r="D101" s="12" t="str">
        <f>RANK(C101,$C$94:$C$103,0)</f>
        <v>0</v>
      </c>
    </row>
    <row r="102" spans="1:13">
      <c r="A102" s="30" t="s">
        <v>62</v>
      </c>
      <c r="B102" s="8" t="s">
        <v>63</v>
      </c>
      <c r="C102" s="27" t="str">
        <f>L87</f>
        <v>0</v>
      </c>
      <c r="D102" s="9" t="str">
        <f>RANK(C102,$C$94:$C$103,0)</f>
        <v>0</v>
      </c>
    </row>
    <row r="103" spans="1:13">
      <c r="A103" s="31" t="s">
        <v>62</v>
      </c>
      <c r="B103" s="11" t="s">
        <v>65</v>
      </c>
      <c r="C103" s="27" t="str">
        <f>L88</f>
        <v>0</v>
      </c>
      <c r="D103" s="12" t="str">
        <f>RANK(C103,$C$94:$C$103,0)</f>
        <v>0</v>
      </c>
    </row>
    <row r="105" spans="1:13">
      <c r="A105" s="37" t="s">
        <v>134</v>
      </c>
      <c r="B105" s="37"/>
      <c r="C105" s="37"/>
      <c r="D105" s="37"/>
    </row>
    <row r="106" spans="1:13" customHeight="1" ht="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customHeight="1" ht="28">
      <c r="A107" s="32" t="s">
        <v>135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</row>
    <row r="108" spans="1:13">
      <c r="A108" s="33" t="s">
        <v>136</v>
      </c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spans="1:13">
      <c r="A109" s="34" t="s">
        <v>137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</sheetData>
  <mergeCells>
    <mergeCell ref="A1:M1"/>
    <mergeCell ref="A2:M2"/>
    <mergeCell ref="A3:M3"/>
    <mergeCell ref="A4:M4"/>
    <mergeCell ref="A5:M5"/>
    <mergeCell ref="A6:M6"/>
    <mergeCell ref="A19:F19"/>
    <mergeCell ref="A20:M20"/>
    <mergeCell ref="A21:M21"/>
    <mergeCell ref="A22:M22"/>
    <mergeCell ref="A34:M34"/>
    <mergeCell ref="A35:K35"/>
    <mergeCell ref="A36:K36"/>
    <mergeCell ref="A52:K52"/>
    <mergeCell ref="A53:M53"/>
    <mergeCell ref="A54:L54"/>
    <mergeCell ref="A55:L55"/>
    <mergeCell ref="A59:L59"/>
    <mergeCell ref="A60:M60"/>
    <mergeCell ref="A61:K61"/>
    <mergeCell ref="A62:K62"/>
    <mergeCell ref="A74:K74"/>
    <mergeCell ref="A75:M75"/>
    <mergeCell ref="A76:L76"/>
    <mergeCell ref="A77:L77"/>
    <mergeCell ref="A89:L89"/>
    <mergeCell ref="A90:M90"/>
    <mergeCell ref="A91:E91"/>
    <mergeCell ref="A92:E92"/>
    <mergeCell ref="A105:D105"/>
    <mergeCell ref="A106:M106"/>
    <mergeCell ref="A107:M107"/>
    <mergeCell ref="A108:M108"/>
    <mergeCell ref="A109:M10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Metode WP</vt:lpstr>
      <vt:lpstr>Metode SAW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2026-02-19T14:58:32+00:00</dcterms:created>
  <dcterms:modified xsi:type="dcterms:W3CDTF">2026-02-19T14:58:32+00:00</dcterms:modified>
  <dc:title>Untitled Spreadsheet</dc:title>
  <dc:description/>
  <dc:subject/>
  <cp:keywords/>
  <cp:category/>
</cp:coreProperties>
</file>